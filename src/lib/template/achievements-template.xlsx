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9.xml" ContentType="application/vnd.openxmlformats-officedocument.spreadsheetml.pivotTab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TOHO(Fajar)\KCF\MC Monitoring System\kcf-mc-monitoring\src\lib\template\"/>
    </mc:Choice>
  </mc:AlternateContent>
  <xr:revisionPtr revIDLastSave="0" documentId="13_ncr:1_{1DC60918-280F-4841-ADD5-57CEB41F0716}" xr6:coauthVersionLast="47" xr6:coauthVersionMax="47" xr10:uidLastSave="{00000000-0000-0000-0000-000000000000}"/>
  <bookViews>
    <workbookView xWindow="28680" yWindow="-120" windowWidth="29040" windowHeight="16440" activeTab="2" xr2:uid="{370BB547-A0D3-4CB2-B344-9D3804543135}"/>
  </bookViews>
  <sheets>
    <sheet name="OPERATOR" sheetId="1" r:id="rId1"/>
    <sheet name="RATE FORGING" sheetId="2" r:id="rId2"/>
    <sheet name="TOTAL RATE" sheetId="3" r:id="rId3"/>
    <sheet name="Achievements Forging" sheetId="4" r:id="rId4"/>
  </sheet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67" i="2" l="1"/>
  <c r="R46" i="2"/>
  <c r="R24" i="2"/>
  <c r="R2" i="2"/>
  <c r="E89" i="2"/>
  <c r="E67" i="2"/>
  <c r="E46" i="2"/>
  <c r="E24" i="2"/>
  <c r="E2" i="2"/>
  <c r="D3" i="4"/>
  <c r="D4" i="4"/>
  <c r="D5" i="4"/>
  <c r="D6" i="4"/>
  <c r="D7" i="4"/>
  <c r="D8" i="4"/>
  <c r="D9" i="4"/>
  <c r="D10" i="4"/>
  <c r="D11" i="4"/>
  <c r="D12" i="4"/>
  <c r="D13" i="4"/>
  <c r="D14" i="4"/>
  <c r="C12" i="4"/>
  <c r="C13" i="4"/>
  <c r="C14" i="4"/>
  <c r="C11" i="4"/>
  <c r="C10" i="4"/>
  <c r="C9" i="4"/>
  <c r="C8" i="4"/>
  <c r="C4" i="4"/>
  <c r="C5" i="4"/>
  <c r="C6" i="4"/>
  <c r="C7" i="4"/>
  <c r="C3" i="4"/>
</calcChain>
</file>

<file path=xl/sharedStrings.xml><?xml version="1.0" encoding="utf-8"?>
<sst xmlns="http://schemas.openxmlformats.org/spreadsheetml/2006/main" count="216" uniqueCount="47">
  <si>
    <t>DATE</t>
  </si>
  <si>
    <t>MACHINE</t>
  </si>
  <si>
    <t>ITEM NO</t>
  </si>
  <si>
    <t>ITEM NAME</t>
  </si>
  <si>
    <t>SPEED (M)</t>
  </si>
  <si>
    <t>SPEED (H)</t>
  </si>
  <si>
    <t>DANDORI T.</t>
  </si>
  <si>
    <t xml:space="preserve">RUNNING T. </t>
  </si>
  <si>
    <t>PRODUCT QTY</t>
  </si>
  <si>
    <t>OPERATING RATE</t>
  </si>
  <si>
    <t>Operating Rate</t>
  </si>
  <si>
    <t>FORGING OPERATING RATE</t>
  </si>
  <si>
    <t>Row Labels</t>
  </si>
  <si>
    <t>(blank)</t>
  </si>
  <si>
    <t>Grand Total</t>
  </si>
  <si>
    <t>Jan</t>
  </si>
  <si>
    <t>Column Labels</t>
  </si>
  <si>
    <t>SF-50-1</t>
  </si>
  <si>
    <t>OPERATOR</t>
  </si>
  <si>
    <t>Jul</t>
  </si>
  <si>
    <t>Sum of OPERATING RATE</t>
  </si>
  <si>
    <t>SF-200-1</t>
  </si>
  <si>
    <t>SF-200-2</t>
  </si>
  <si>
    <t>SF-100-1</t>
  </si>
  <si>
    <t>SF-100-2</t>
  </si>
  <si>
    <t>SF-80</t>
  </si>
  <si>
    <t>SF-50-2</t>
  </si>
  <si>
    <t>SF-50-3</t>
  </si>
  <si>
    <t>JBP-13B7S</t>
  </si>
  <si>
    <t>Dec</t>
  </si>
  <si>
    <t>Aug</t>
  </si>
  <si>
    <t>Sep</t>
  </si>
  <si>
    <t>Oct</t>
  </si>
  <si>
    <t>Feb</t>
  </si>
  <si>
    <t>Mar</t>
  </si>
  <si>
    <t>`</t>
  </si>
  <si>
    <t>Jun</t>
  </si>
  <si>
    <t>May</t>
  </si>
  <si>
    <t>Apr</t>
  </si>
  <si>
    <t>Nov</t>
  </si>
  <si>
    <t>RATE</t>
  </si>
  <si>
    <t>MONTH</t>
  </si>
  <si>
    <t>YEAR</t>
  </si>
  <si>
    <t>2026</t>
  </si>
  <si>
    <t xml:space="preserve">DANDORI </t>
  </si>
  <si>
    <t>(All)</t>
  </si>
  <si>
    <t>PRODUKTIFITAS PRODUKSI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</si>
</sst>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1" xfId="2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164" fontId="0" fillId="0" borderId="1" xfId="0" applyNumberFormat="1" applyBorder="1"/>
    <xf numFmtId="164" fontId="0" fillId="0" borderId="0" xfId="0" applyNumberForma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60% - Accent2" xfId="1" builtinId="36"/>
    <cellStyle name="60% - Accent6" xfId="2" builtinId="52"/>
    <cellStyle name="Normal" xfId="0" builtinId="0"/>
  </cellStyles>
  <dxfs count="19">
    <dxf>
      <numFmt numFmtId="164" formatCode="0.0%"/>
    </dxf>
    <dxf>
      <numFmt numFmtId="164" formatCode="0.0%"/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[achievements-template.xlsx]RATE FORGING!PivotTable17</c:name>
    <c:fmtId val="40"/>
  </c:pivotSource>
  <c:chart>
    <c:title>
      <c:tx>
        <c:strRef>
          <c:f>'RATE FORGING'!$E$2</c:f>
          <c:strCache>
            <c:ptCount val="1"/>
            <c:pt idx="0">
              <c:v>OPERATING RATE SF-100-2 (TARGET 85%)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'RATE FORGING'!$E$2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'RATE FORGING'!$E$2</c:f>
              <c:multiLvlStrCache>
                <c:ptCount val="1"/>
                <c:lvl>
                  <c:pt idx="0">
                    <c:v>Oct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'RATE FORGING'!$E$2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4-49AB-98E1-C2D7D0186AD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14793359"/>
        <c:axId val="719723791"/>
      </c:lineChart>
      <c:catAx>
        <c:axId val="71479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723791"/>
        <c:crosses val="autoZero"/>
        <c:auto val="1"/>
        <c:lblAlgn val="ctr"/>
        <c:lblOffset val="100"/>
        <c:noMultiLvlLbl val="0"/>
      </c:catAx>
      <c:valAx>
        <c:axId val="7197237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9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[achievements-template.xlsx]RATE FORGING!PivotTable24</c:name>
    <c:fmtId val="42"/>
  </c:pivotSource>
  <c:chart>
    <c:title>
      <c:tx>
        <c:strRef>
          <c:f>'RATE FORGING'!$R$2</c:f>
          <c:strCache>
            <c:ptCount val="1"/>
            <c:pt idx="0">
              <c:v>OPERATING RATE SF-100-1 (TARGET 85%)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'RATE FORGING'!$R$2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'RATE FORGING'!$R$2</c:f>
              <c:multiLvlStrCache>
                <c:ptCount val="2"/>
                <c:lvl>
                  <c:pt idx="0">
                    <c:v>Jun</c:v>
                  </c:pt>
                  <c:pt idx="1">
                    <c:v>Sep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'RATE FORGING'!$R$2</c:f>
              <c:numCache>
                <c:formatCode>0.0%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DC-4932-9F18-B2A0EE1EE73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14797071"/>
        <c:axId val="719646511"/>
      </c:lineChart>
      <c:catAx>
        <c:axId val="71479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46511"/>
        <c:crosses val="autoZero"/>
        <c:auto val="1"/>
        <c:lblAlgn val="ctr"/>
        <c:lblOffset val="100"/>
        <c:noMultiLvlLbl val="0"/>
      </c:catAx>
      <c:valAx>
        <c:axId val="7196465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9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[achievements-template.xlsx]RATE FORGING!PivotTable20</c:name>
    <c:fmtId val="19"/>
  </c:pivotSource>
  <c:chart>
    <c:title>
      <c:tx>
        <c:strRef>
          <c:f>'RATE FORGING'!$E$24</c:f>
          <c:strCache>
            <c:ptCount val="1"/>
            <c:pt idx="0">
              <c:v>OPERATING RATE SF-50-2 (TARGET 85%)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'RATE FORGING'!$E$24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'RATE FORGING'!$E$24</c:f>
              <c:multiLvlStrCache>
                <c:ptCount val="1"/>
                <c:lvl>
                  <c:pt idx="0">
                    <c:v>Jan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'RATE FORGING'!$E$24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4C-4BBE-8F1D-5E1663BBD29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94761487"/>
        <c:axId val="719687791"/>
      </c:lineChart>
      <c:catAx>
        <c:axId val="69476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87791"/>
        <c:crosses val="autoZero"/>
        <c:auto val="1"/>
        <c:lblAlgn val="ctr"/>
        <c:lblOffset val="100"/>
        <c:noMultiLvlLbl val="0"/>
      </c:catAx>
      <c:valAx>
        <c:axId val="7196877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76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[achievements-template.xlsx]RATE FORGING!PivotTable21</c:name>
    <c:fmtId val="19"/>
  </c:pivotSource>
  <c:chart>
    <c:title>
      <c:tx>
        <c:strRef>
          <c:f>'RATE FORGING'!$E$46</c:f>
          <c:strCache>
            <c:ptCount val="1"/>
            <c:pt idx="0">
              <c:v>OPERATING RATE SF-50-3 (TARGET 85%)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'RATE FORGING'!$E$46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'RATE FORGING'!$E$46</c:f>
              <c:multiLvlStrCache>
                <c:ptCount val="1"/>
                <c:lvl>
                  <c:pt idx="0">
                    <c:v>Feb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'RATE FORGING'!$E$46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7C-423F-8A92-EEA03A1CACF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94731791"/>
        <c:axId val="719629711"/>
      </c:lineChart>
      <c:catAx>
        <c:axId val="69473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29711"/>
        <c:crosses val="autoZero"/>
        <c:auto val="1"/>
        <c:lblAlgn val="ctr"/>
        <c:lblOffset val="100"/>
        <c:noMultiLvlLbl val="0"/>
      </c:catAx>
      <c:valAx>
        <c:axId val="7196297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73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[achievements-template.xlsx]RATE FORGING!PivotTable25</c:name>
    <c:fmtId val="21"/>
  </c:pivotSource>
  <c:chart>
    <c:title>
      <c:tx>
        <c:strRef>
          <c:f>'RATE FORGING'!$E$67</c:f>
          <c:strCache>
            <c:ptCount val="1"/>
            <c:pt idx="0">
              <c:v>OPERATING RATE JBP-13B7S (TARGET 85%)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'RATE FORGING'!$E$67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'RATE FORGING'!$E$67</c:f>
              <c:multiLvlStrCache>
                <c:ptCount val="1"/>
                <c:lvl>
                  <c:pt idx="0">
                    <c:v>Mar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'RATE FORGING'!$E$67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8B-4F9D-9220-D8007F66E0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94689567"/>
        <c:axId val="719681551"/>
      </c:lineChart>
      <c:catAx>
        <c:axId val="69468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81551"/>
        <c:crosses val="autoZero"/>
        <c:auto val="1"/>
        <c:lblAlgn val="ctr"/>
        <c:lblOffset val="100"/>
        <c:noMultiLvlLbl val="0"/>
      </c:catAx>
      <c:valAx>
        <c:axId val="71968155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68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[achievements-template.xlsx]RATE FORGING!PivotTable23</c:name>
    <c:fmtId val="19"/>
  </c:pivotSource>
  <c:chart>
    <c:title>
      <c:tx>
        <c:strRef>
          <c:f>'RATE FORGING'!$R$24</c:f>
          <c:strCache>
            <c:ptCount val="1"/>
            <c:pt idx="0">
              <c:v>OPERATING RATE SF-200-2 (TARGET 85%)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'RATE FORGING'!$R$24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'RATE FORGING'!$R$24</c:f>
              <c:multiLvlStrCache>
                <c:ptCount val="2"/>
                <c:lvl>
                  <c:pt idx="0">
                    <c:v>May</c:v>
                  </c:pt>
                  <c:pt idx="1">
                    <c:v>Aug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'RATE FORGING'!$R$24</c:f>
              <c:numCache>
                <c:formatCode>0.0%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39-4D4F-843F-4A5A69F2602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14800783"/>
        <c:axId val="719711311"/>
      </c:lineChart>
      <c:catAx>
        <c:axId val="71480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711311"/>
        <c:crosses val="autoZero"/>
        <c:auto val="1"/>
        <c:lblAlgn val="ctr"/>
        <c:lblOffset val="100"/>
        <c:noMultiLvlLbl val="0"/>
      </c:catAx>
      <c:valAx>
        <c:axId val="7197113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80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[achievements-template.xlsx]RATE FORGING!PivotTable22</c:name>
    <c:fmtId val="19"/>
  </c:pivotSource>
  <c:chart>
    <c:title>
      <c:tx>
        <c:strRef>
          <c:f>'RATE FORGING'!$R$46</c:f>
          <c:strCache>
            <c:ptCount val="1"/>
            <c:pt idx="0">
              <c:v>OPERATING RATE SF-200-1 (TARGET 85%)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'RATE FORGING'!$R$46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'RATE FORGING'!$R$46</c:f>
              <c:multiLvlStrCache>
                <c:ptCount val="2"/>
                <c:lvl>
                  <c:pt idx="0">
                    <c:v>Apr</c:v>
                  </c:pt>
                  <c:pt idx="1">
                    <c:v>Jul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'RATE FORGING'!$R$46</c:f>
              <c:numCache>
                <c:formatCode>0.0%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24-4CFC-822E-7EF86C7F103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14769695"/>
        <c:axId val="719634031"/>
      </c:lineChart>
      <c:catAx>
        <c:axId val="71476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34031"/>
        <c:crosses val="autoZero"/>
        <c:auto val="1"/>
        <c:lblAlgn val="ctr"/>
        <c:lblOffset val="100"/>
        <c:noMultiLvlLbl val="0"/>
      </c:catAx>
      <c:valAx>
        <c:axId val="71963403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6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[achievements-template.xlsx]RATE FORGING!PivotTable26</c:name>
    <c:fmtId val="21"/>
  </c:pivotSource>
  <c:chart>
    <c:title>
      <c:tx>
        <c:strRef>
          <c:f>'RATE FORGING'!$R$67</c:f>
          <c:strCache>
            <c:ptCount val="1"/>
            <c:pt idx="0">
              <c:v>OPERATING RATE SF-80 (TARGET 85%)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'RATE FORGING'!$R$67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'RATE FORGING'!$R$67</c:f>
              <c:multiLvlStrCache>
                <c:ptCount val="1"/>
                <c:lvl>
                  <c:pt idx="0">
                    <c:v>Nov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'RATE FORGING'!$R$67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52-4F29-A13E-AC893765C0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4307023"/>
        <c:axId val="719705071"/>
      </c:lineChart>
      <c:catAx>
        <c:axId val="16430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705071"/>
        <c:crosses val="autoZero"/>
        <c:auto val="1"/>
        <c:lblAlgn val="ctr"/>
        <c:lblOffset val="100"/>
        <c:noMultiLvlLbl val="0"/>
      </c:catAx>
      <c:valAx>
        <c:axId val="7197050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0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[achievements-template.xlsx]RATE FORGING!PivotTable27</c:name>
    <c:fmtId val="23"/>
  </c:pivotSource>
  <c:chart>
    <c:title>
      <c:tx>
        <c:strRef>
          <c:f>'RATE FORGING'!$E$89</c:f>
          <c:strCache>
            <c:ptCount val="1"/>
            <c:pt idx="0">
              <c:v>OPERATING RATE SF-50-1 (TARGET 85%)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'RATE FORGING'!$E$89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'RATE FORGING'!$E$89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'RATE FORGING'!$E$89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59-475C-8CEB-7C9FB64A9A1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3776416"/>
        <c:axId val="121995600"/>
      </c:lineChart>
      <c:catAx>
        <c:axId val="13377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95600"/>
        <c:crosses val="autoZero"/>
        <c:auto val="1"/>
        <c:lblAlgn val="ctr"/>
        <c:lblOffset val="100"/>
        <c:noMultiLvlLbl val="0"/>
      </c:catAx>
      <c:valAx>
        <c:axId val="1219956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7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[achievements-template.xlsx]TOTAL RATE!PivotTable1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TOTAL PRESENTASE PRODUKSIFITAS </a:t>
            </a:r>
          </a:p>
          <a:p>
            <a:pPr>
              <a:defRPr/>
            </a:pPr>
            <a:r>
              <a:rPr lang="en-US" baseline="0"/>
              <a:t>(TARGET 85 %)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RATE'!$D$7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'TOTAL RATE'!$C$8:$C$21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'TOTAL RATE'!$D$8:$D$21</c:f>
              <c:numCache>
                <c:formatCode>0.0%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C9-4CB6-A41C-60A2012F1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353679"/>
        <c:axId val="719682031"/>
      </c:lineChart>
      <c:catAx>
        <c:axId val="59735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82031"/>
        <c:crosses val="autoZero"/>
        <c:auto val="1"/>
        <c:lblAlgn val="ctr"/>
        <c:lblOffset val="100"/>
        <c:noMultiLvlLbl val="0"/>
      </c:catAx>
      <c:valAx>
        <c:axId val="71968203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35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1</xdr:row>
      <xdr:rowOff>38100</xdr:rowOff>
    </xdr:from>
    <xdr:to>
      <xdr:col>12</xdr:col>
      <xdr:colOff>409575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4EED71-A9EF-2658-6BE7-BE55235C0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114300</xdr:colOff>
      <xdr:row>1</xdr:row>
      <xdr:rowOff>0</xdr:rowOff>
    </xdr:from>
    <xdr:to>
      <xdr:col>22</xdr:col>
      <xdr:colOff>619125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89AAAA-3049-2322-120A-5FEDC8037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33337</xdr:colOff>
      <xdr:row>23</xdr:row>
      <xdr:rowOff>19050</xdr:rowOff>
    </xdr:from>
    <xdr:to>
      <xdr:col>12</xdr:col>
      <xdr:colOff>338137</xdr:colOff>
      <xdr:row>37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764254-538F-6DAD-3FCC-BF14D4EA7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23812</xdr:colOff>
      <xdr:row>44</xdr:row>
      <xdr:rowOff>180975</xdr:rowOff>
    </xdr:from>
    <xdr:to>
      <xdr:col>12</xdr:col>
      <xdr:colOff>328612</xdr:colOff>
      <xdr:row>59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90D701-D890-8DCC-7D7F-F1457640A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33337</xdr:colOff>
      <xdr:row>66</xdr:row>
      <xdr:rowOff>0</xdr:rowOff>
    </xdr:from>
    <xdr:to>
      <xdr:col>12</xdr:col>
      <xdr:colOff>338137</xdr:colOff>
      <xdr:row>80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954E4E2-7828-3A41-B4BF-F10CE4A3B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176212</xdr:colOff>
      <xdr:row>23</xdr:row>
      <xdr:rowOff>9525</xdr:rowOff>
    </xdr:from>
    <xdr:to>
      <xdr:col>22</xdr:col>
      <xdr:colOff>681037</xdr:colOff>
      <xdr:row>37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F23D371-6344-F449-086D-FBD83395E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185737</xdr:colOff>
      <xdr:row>44</xdr:row>
      <xdr:rowOff>180975</xdr:rowOff>
    </xdr:from>
    <xdr:to>
      <xdr:col>22</xdr:col>
      <xdr:colOff>690562</xdr:colOff>
      <xdr:row>59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C43CF57-4ACF-C8E2-8170-2282CF131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214312</xdr:colOff>
      <xdr:row>66</xdr:row>
      <xdr:rowOff>0</xdr:rowOff>
    </xdr:from>
    <xdr:to>
      <xdr:col>22</xdr:col>
      <xdr:colOff>719137</xdr:colOff>
      <xdr:row>80</xdr:row>
      <xdr:rowOff>76200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EEEEEB6-F9D1-1714-E20B-FAF02E556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28575</xdr:colOff>
      <xdr:row>88</xdr:row>
      <xdr:rowOff>28575</xdr:rowOff>
    </xdr:from>
    <xdr:to>
      <xdr:col>12</xdr:col>
      <xdr:colOff>333375</xdr:colOff>
      <xdr:row>102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19F0EE-FA57-E966-86EE-12680CBEE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128587</xdr:colOff>
      <xdr:row>6</xdr:row>
      <xdr:rowOff>9525</xdr:rowOff>
    </xdr:from>
    <xdr:to>
      <xdr:col>13</xdr:col>
      <xdr:colOff>433387</xdr:colOff>
      <xdr:row>20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DE686E-7737-73FE-C197-244D05D5F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yuda Ari Guntoro Guntoro" refreshedDate="46300.394576736115" createdVersion="8" refreshedVersion="8" minRefreshableVersion="3" recordCount="12" xr:uid="{7A9EEBF8-F762-4C14-887D-117EDE3208E8}">
  <cacheSource type="worksheet">
    <worksheetSource name="Table4"/>
  </cacheSource>
  <cacheFields count="14">
    <cacheField name="MONTH" numFmtId="0">
      <sharedItems count="12">
        <s v="Jul"/>
        <s v="Aug"/>
        <s v="Sep"/>
        <s v="Oct"/>
        <s v="Nov"/>
        <s v="Dec"/>
        <s v="Jan"/>
        <s v="Feb"/>
        <s v="Mar"/>
        <s v="Apr"/>
        <s v="May"/>
        <s v="Jun"/>
      </sharedItems>
    </cacheField>
    <cacheField name="YEAR" numFmtId="0">
      <sharedItems count="1">
        <s v="2026"/>
      </sharedItems>
    </cacheField>
    <cacheField name="DATE" numFmtId="14">
      <sharedItems containsSemiMixedTypes="0" containsNonDate="0" containsDate="1" containsString="0" minDate="2026-01-20T00:00:00" maxDate="2026-12-21T00:00:00"/>
    </cacheField>
    <cacheField name="MACHINE" numFmtId="0">
      <sharedItems count="9">
        <s v="SF-200-1"/>
        <s v="SF-200-2"/>
        <s v="SF-100-1"/>
        <s v="SF-100-2"/>
        <s v="SF-80"/>
        <s v="SF-50-1"/>
        <s v="SF-50-2"/>
        <s v="SF-50-3"/>
        <s v="JBP-13B7S"/>
      </sharedItems>
    </cacheField>
    <cacheField name="ITEM NO" numFmtId="0">
      <sharedItems containsNonDate="0" containsBlank="1" count="2">
        <m/>
        <s v="71331-X7U00" u="1"/>
      </sharedItems>
    </cacheField>
    <cacheField name="ITEM NAME" numFmtId="0">
      <sharedItems containsNonDate="0" containsString="0" containsBlank="1"/>
    </cacheField>
    <cacheField name="SPEED (M)" numFmtId="0">
      <sharedItems containsNonDate="0" containsString="0" containsBlank="1"/>
    </cacheField>
    <cacheField name="SPEED (H)" numFmtId="0">
      <sharedItems containsNonDate="0" containsString="0" containsBlank="1"/>
    </cacheField>
    <cacheField name="OPERATOR" numFmtId="0">
      <sharedItems containsNonDate="0" containsString="0" containsBlank="1" count="1">
        <m/>
      </sharedItems>
    </cacheField>
    <cacheField name="DANDORI T." numFmtId="0">
      <sharedItems containsSemiMixedTypes="0" containsString="0" containsNumber="1" containsInteger="1" minValue="100" maxValue="100"/>
    </cacheField>
    <cacheField name="RUNNING T. " numFmtId="0">
      <sharedItems containsNonDate="0" containsString="0" containsBlank="1"/>
    </cacheField>
    <cacheField name="PRODUCT QTY" numFmtId="0">
      <sharedItems containsNonDate="0" containsString="0" containsBlank="1"/>
    </cacheField>
    <cacheField name="OPERATING RATE" numFmtId="164">
      <sharedItems containsSemiMixedTypes="0" containsString="0" containsNumber="1" containsInteger="1" minValue="1" maxValue="1"/>
    </cacheField>
    <cacheField name="TARGET" numFmtId="0" formula="0.85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d v="2026-07-20T00:00:00"/>
    <x v="0"/>
    <x v="0"/>
    <m/>
    <m/>
    <m/>
    <x v="0"/>
    <n v="100"/>
    <m/>
    <m/>
    <n v="1"/>
  </r>
  <r>
    <x v="1"/>
    <x v="0"/>
    <d v="2026-08-20T00:00:00"/>
    <x v="1"/>
    <x v="0"/>
    <m/>
    <m/>
    <m/>
    <x v="0"/>
    <n v="100"/>
    <m/>
    <m/>
    <n v="1"/>
  </r>
  <r>
    <x v="2"/>
    <x v="0"/>
    <d v="2026-09-20T00:00:00"/>
    <x v="2"/>
    <x v="0"/>
    <m/>
    <m/>
    <m/>
    <x v="0"/>
    <n v="100"/>
    <m/>
    <m/>
    <n v="1"/>
  </r>
  <r>
    <x v="3"/>
    <x v="0"/>
    <d v="2026-10-20T00:00:00"/>
    <x v="3"/>
    <x v="0"/>
    <m/>
    <m/>
    <m/>
    <x v="0"/>
    <n v="100"/>
    <m/>
    <m/>
    <n v="1"/>
  </r>
  <r>
    <x v="4"/>
    <x v="0"/>
    <d v="2026-11-20T00:00:00"/>
    <x v="4"/>
    <x v="0"/>
    <m/>
    <m/>
    <m/>
    <x v="0"/>
    <n v="100"/>
    <m/>
    <m/>
    <n v="1"/>
  </r>
  <r>
    <x v="5"/>
    <x v="0"/>
    <d v="2026-12-20T00:00:00"/>
    <x v="5"/>
    <x v="0"/>
    <m/>
    <m/>
    <m/>
    <x v="0"/>
    <n v="100"/>
    <m/>
    <m/>
    <n v="1"/>
  </r>
  <r>
    <x v="6"/>
    <x v="0"/>
    <d v="2026-01-20T00:00:00"/>
    <x v="6"/>
    <x v="0"/>
    <m/>
    <m/>
    <m/>
    <x v="0"/>
    <n v="100"/>
    <m/>
    <m/>
    <n v="1"/>
  </r>
  <r>
    <x v="7"/>
    <x v="0"/>
    <d v="2026-02-20T00:00:00"/>
    <x v="7"/>
    <x v="0"/>
    <m/>
    <m/>
    <m/>
    <x v="0"/>
    <n v="100"/>
    <m/>
    <m/>
    <n v="1"/>
  </r>
  <r>
    <x v="8"/>
    <x v="0"/>
    <d v="2026-03-20T00:00:00"/>
    <x v="8"/>
    <x v="0"/>
    <m/>
    <m/>
    <m/>
    <x v="0"/>
    <n v="100"/>
    <m/>
    <m/>
    <n v="1"/>
  </r>
  <r>
    <x v="9"/>
    <x v="0"/>
    <d v="2026-04-20T00:00:00"/>
    <x v="0"/>
    <x v="0"/>
    <m/>
    <m/>
    <m/>
    <x v="0"/>
    <n v="100"/>
    <m/>
    <m/>
    <n v="1"/>
  </r>
  <r>
    <x v="10"/>
    <x v="0"/>
    <d v="2026-05-20T00:00:00"/>
    <x v="1"/>
    <x v="0"/>
    <m/>
    <m/>
    <m/>
    <x v="0"/>
    <n v="100"/>
    <m/>
    <m/>
    <n v="1"/>
  </r>
  <r>
    <x v="11"/>
    <x v="0"/>
    <d v="2026-06-20T00:00:00"/>
    <x v="2"/>
    <x v="0"/>
    <m/>
    <m/>
    <m/>
    <x v="0"/>
    <n v="100"/>
    <m/>
    <m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85311-543D-48DA-9DB8-077801849FE9}" name="PivotTable24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4">
  <location ref="O5:P9" firstHeaderRow="1" firstDataRow="1" firstDataCol="1" rowPageCount="2" colPageCount="1"/>
  <pivotFields count="14">
    <pivotField axis="axisRow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axis="axisRow" showAll="0">
      <items count="2">
        <item x="0"/>
        <item t="default"/>
      </items>
    </pivotField>
    <pivotField numFmtId="14" showAll="0"/>
    <pivotField axis="axisPage" showAll="0">
      <items count="10">
        <item x="8"/>
        <item x="2"/>
        <item x="3"/>
        <item x="0"/>
        <item x="1"/>
        <item x="5"/>
        <item x="6"/>
        <item x="7"/>
        <item x="4"/>
        <item t="default"/>
      </items>
    </pivotField>
    <pivotField axis="axisPage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2">
    <field x="1"/>
    <field x="0"/>
  </rowFields>
  <rowItems count="4">
    <i>
      <x/>
    </i>
    <i r="1">
      <x v="5"/>
    </i>
    <i r="1">
      <x v="8"/>
    </i>
    <i t="grand">
      <x/>
    </i>
  </rowItems>
  <colItems count="1">
    <i/>
  </colItems>
  <pageFields count="2">
    <pageField fld="3" item="1" hier="-1"/>
    <pageField fld="4" hier="-1"/>
  </pageFields>
  <dataFields count="1">
    <dataField name="RATE" fld="12" subtotal="average" baseField="1" baseItem="0" numFmtId="164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99930-AA0D-42B1-B26F-6D33ECEE56A5}" name="PivotTable2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B50:C53" firstHeaderRow="1" firstDataRow="1" firstDataCol="1" rowPageCount="2" colPageCount="1"/>
  <pivotFields count="14">
    <pivotField axis="axisRow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axis="axisRow" showAll="0">
      <items count="2">
        <item x="0"/>
        <item t="default"/>
      </items>
    </pivotField>
    <pivotField numFmtId="14" showAll="0"/>
    <pivotField axis="axisPage" showAll="0">
      <items count="10">
        <item x="8"/>
        <item x="2"/>
        <item x="3"/>
        <item x="0"/>
        <item x="1"/>
        <item x="5"/>
        <item x="6"/>
        <item x="7"/>
        <item x="4"/>
        <item t="default"/>
      </items>
    </pivotField>
    <pivotField axis="axisPage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2">
    <field x="1"/>
    <field x="0"/>
  </rowFields>
  <rowItems count="3">
    <i>
      <x/>
    </i>
    <i r="1">
      <x v="1"/>
    </i>
    <i t="grand">
      <x/>
    </i>
  </rowItems>
  <colItems count="1">
    <i/>
  </colItems>
  <pageFields count="2">
    <pageField fld="3" item="7" hier="-1"/>
    <pageField fld="4" hier="-1"/>
  </pageFields>
  <dataFields count="1">
    <dataField name="RATE" fld="12" subtotal="average" baseField="1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E9197E-66A0-4212-8D82-1C76DDF3FEE7}" name="PivotTable2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B92:C95" firstHeaderRow="1" firstDataRow="1" firstDataCol="1" rowPageCount="2" colPageCount="1"/>
  <pivotFields count="14">
    <pivotField axis="axisRow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axis="axisRow" showAll="0">
      <items count="2">
        <item x="0"/>
        <item t="default"/>
      </items>
    </pivotField>
    <pivotField numFmtId="14" showAll="0"/>
    <pivotField axis="axisPage" showAll="0">
      <items count="10">
        <item x="8"/>
        <item x="2"/>
        <item x="3"/>
        <item x="0"/>
        <item x="1"/>
        <item x="5"/>
        <item x="6"/>
        <item x="7"/>
        <item x="4"/>
        <item t="default"/>
      </items>
    </pivotField>
    <pivotField axis="axisPage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2">
    <field x="1"/>
    <field x="0"/>
  </rowFields>
  <rowItems count="3">
    <i>
      <x/>
    </i>
    <i r="1">
      <x v="11"/>
    </i>
    <i t="grand">
      <x/>
    </i>
  </rowItems>
  <colItems count="1">
    <i/>
  </colItems>
  <pageFields count="2">
    <pageField fld="3" item="5" hier="-1"/>
    <pageField fld="4" hier="-1"/>
  </pageFields>
  <dataFields count="1">
    <dataField name="RATE" fld="12" subtotal="average" baseField="1" baseItem="0" numFmtId="16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D5A86-0FAF-4D4D-9C44-7BE90E19394D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T4:AW7" firstHeaderRow="1" firstDataRow="2" firstDataCol="1" rowPageCount="1" colPageCount="1"/>
  <pivotFields count="14">
    <pivotField axis="axisCol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showAll="0"/>
    <pivotField numFmtId="14" showAll="0"/>
    <pivotField axis="axisPage" showAll="0">
      <items count="10">
        <item x="5"/>
        <item x="0"/>
        <item x="1"/>
        <item x="2"/>
        <item x="3"/>
        <item x="4"/>
        <item x="6"/>
        <item x="7"/>
        <item x="8"/>
        <item t="default"/>
      </items>
    </pivotField>
    <pivotField axis="axisRow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4"/>
  </rowFields>
  <rowItems count="2">
    <i>
      <x v="1"/>
    </i>
    <i t="grand">
      <x/>
    </i>
  </rowItems>
  <colFields count="1">
    <field x="0"/>
  </colFields>
  <colItems count="3">
    <i>
      <x v="3"/>
    </i>
    <i>
      <x v="6"/>
    </i>
    <i t="grand">
      <x/>
    </i>
  </colItems>
  <pageFields count="1">
    <pageField fld="3" item="1" hier="-1"/>
  </pageFields>
  <dataFields count="1">
    <dataField name="Sum of OPERATING RAT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F6769-FF4F-45FA-A00D-3D6DA862D39D}" name="PivotTable2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B4:FD7" firstHeaderRow="1" firstDataRow="2" firstDataCol="1" rowPageCount="1" colPageCount="1"/>
  <pivotFields count="14">
    <pivotField axis="axisCol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showAll="0"/>
    <pivotField numFmtId="14" showAll="0"/>
    <pivotField axis="axisPage" showAll="0">
      <items count="10">
        <item x="5"/>
        <item x="0"/>
        <item x="1"/>
        <item x="2"/>
        <item x="3"/>
        <item x="4"/>
        <item x="6"/>
        <item x="7"/>
        <item x="8"/>
        <item t="default"/>
      </items>
    </pivotField>
    <pivotField axis="axisRow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4"/>
  </rowFields>
  <rowItems count="2">
    <i>
      <x v="1"/>
    </i>
    <i t="grand">
      <x/>
    </i>
  </rowItems>
  <colFields count="1">
    <field x="0"/>
  </colFields>
  <colItems count="2">
    <i>
      <x v="10"/>
    </i>
    <i t="grand">
      <x/>
    </i>
  </colItems>
  <pageFields count="1">
    <pageField fld="3" item="5" hier="-1"/>
  </pageFields>
  <dataFields count="1">
    <dataField name="Sum of OPERATING RAT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FD717-55D2-4077-BD74-B3665F7BCED5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X4:DZ7" firstHeaderRow="1" firstDataRow="2" firstDataCol="1" rowPageCount="1" colPageCount="1"/>
  <pivotFields count="14">
    <pivotField axis="axisCol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showAll="0"/>
    <pivotField numFmtId="14" showAll="0"/>
    <pivotField axis="axisPage" showAll="0">
      <items count="10">
        <item x="5"/>
        <item x="0"/>
        <item x="1"/>
        <item x="2"/>
        <item x="3"/>
        <item x="4"/>
        <item x="6"/>
        <item x="7"/>
        <item x="8"/>
        <item t="default"/>
      </items>
    </pivotField>
    <pivotField axis="axisRow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4"/>
  </rowFields>
  <rowItems count="2">
    <i>
      <x v="1"/>
    </i>
    <i t="grand">
      <x/>
    </i>
  </rowItems>
  <colFields count="1">
    <field x="0"/>
  </colFields>
  <colItems count="2">
    <i>
      <x v="1"/>
    </i>
    <i t="grand">
      <x/>
    </i>
  </colItems>
  <pageFields count="1">
    <pageField fld="3" item="7" hier="-1"/>
  </pageFields>
  <dataFields count="1">
    <dataField name="Sum of OPERATING RAT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CD331-B6DD-42D6-A2EA-38A1DC462D3C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L4:BO7" firstHeaderRow="1" firstDataRow="2" firstDataCol="1" rowPageCount="1" colPageCount="1"/>
  <pivotFields count="14">
    <pivotField axis="axisCol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showAll="0"/>
    <pivotField numFmtId="14" showAll="0"/>
    <pivotField axis="axisPage" showAll="0">
      <items count="10">
        <item x="5"/>
        <item x="0"/>
        <item x="1"/>
        <item x="2"/>
        <item x="3"/>
        <item x="4"/>
        <item x="6"/>
        <item x="7"/>
        <item x="8"/>
        <item t="default"/>
      </items>
    </pivotField>
    <pivotField axis="axisRow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4"/>
  </rowFields>
  <rowItems count="2">
    <i>
      <x v="1"/>
    </i>
    <i t="grand">
      <x/>
    </i>
  </rowItems>
  <colFields count="1">
    <field x="0"/>
  </colFields>
  <colItems count="3">
    <i>
      <x v="4"/>
    </i>
    <i>
      <x v="7"/>
    </i>
    <i t="grand">
      <x/>
    </i>
  </colItems>
  <pageFields count="1">
    <pageField fld="3" item="2" hier="-1"/>
  </pageFields>
  <dataFields count="1">
    <dataField name="Sum of OPERATING RAT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800DD-182C-4C60-A59A-C1128AAB24B1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4">
  <location ref="B5:C8" firstHeaderRow="1" firstDataRow="1" firstDataCol="1" rowPageCount="2" colPageCount="1"/>
  <pivotFields count="14">
    <pivotField axis="axisRow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axis="axisRow" showAll="0">
      <items count="2">
        <item x="0"/>
        <item t="default"/>
      </items>
    </pivotField>
    <pivotField numFmtId="14" showAll="0"/>
    <pivotField axis="axisPage" showAll="0">
      <items count="10">
        <item x="8"/>
        <item x="2"/>
        <item x="3"/>
        <item x="0"/>
        <item x="1"/>
        <item x="5"/>
        <item x="6"/>
        <item x="7"/>
        <item x="4"/>
        <item t="default"/>
      </items>
    </pivotField>
    <pivotField axis="axisPage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2">
    <field x="1"/>
    <field x="0"/>
  </rowFields>
  <rowItems count="3">
    <i>
      <x/>
    </i>
    <i r="1">
      <x v="9"/>
    </i>
    <i t="grand">
      <x/>
    </i>
  </rowItems>
  <colItems count="1">
    <i/>
  </colItems>
  <pageFields count="2">
    <pageField fld="3" item="2" hier="-1"/>
    <pageField fld="4" hier="-1"/>
  </pageFields>
  <dataFields count="1">
    <dataField name="RATE" fld="12" subtotal="average" baseField="1" baseItem="0" numFmtId="164"/>
  </dataFields>
  <chartFormats count="7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F2CE9-B7B1-443F-AC32-A00886791260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S4:CU7" firstHeaderRow="1" firstDataRow="2" firstDataCol="1" rowPageCount="1" colPageCount="1"/>
  <pivotFields count="14">
    <pivotField axis="axisCol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showAll="0"/>
    <pivotField numFmtId="14" showAll="0"/>
    <pivotField axis="axisPage" showAll="0">
      <items count="10">
        <item x="5"/>
        <item x="0"/>
        <item x="1"/>
        <item x="2"/>
        <item x="3"/>
        <item x="4"/>
        <item x="6"/>
        <item x="7"/>
        <item x="8"/>
        <item t="default"/>
      </items>
    </pivotField>
    <pivotField axis="axisRow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4"/>
  </rowFields>
  <rowItems count="2">
    <i>
      <x v="1"/>
    </i>
    <i t="grand">
      <x/>
    </i>
  </rowItems>
  <colFields count="1">
    <field x="0"/>
  </colFields>
  <colItems count="2">
    <i>
      <x v="9"/>
    </i>
    <i t="grand">
      <x/>
    </i>
  </colItems>
  <pageFields count="1">
    <pageField fld="3" item="4" hier="-1"/>
  </pageFields>
  <dataFields count="1">
    <dataField name="Sum of OPERATING RAT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CBD1C-EB98-462C-B899-A137F77093F8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C4:CF7" firstHeaderRow="1" firstDataRow="2" firstDataCol="1" rowPageCount="1" colPageCount="1"/>
  <pivotFields count="14">
    <pivotField axis="axisCol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showAll="0"/>
    <pivotField numFmtId="14" showAll="0"/>
    <pivotField axis="axisPage" showAll="0">
      <items count="10">
        <item x="5"/>
        <item x="0"/>
        <item x="1"/>
        <item x="2"/>
        <item x="3"/>
        <item x="4"/>
        <item x="6"/>
        <item x="7"/>
        <item x="8"/>
        <item t="default"/>
      </items>
    </pivotField>
    <pivotField axis="axisRow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4"/>
  </rowFields>
  <rowItems count="2">
    <i>
      <x v="1"/>
    </i>
    <i t="grand">
      <x/>
    </i>
  </rowItems>
  <colFields count="1">
    <field x="0"/>
  </colFields>
  <colItems count="3">
    <i>
      <x v="5"/>
    </i>
    <i>
      <x v="8"/>
    </i>
    <i t="grand">
      <x/>
    </i>
  </colItems>
  <pageFields count="1">
    <pageField fld="3" item="3" hier="-1"/>
  </pageFields>
  <dataFields count="1">
    <dataField name="Sum of OPERATING RAT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5A289-3383-4298-8FCC-8F5B4061FFF8}" name="PivotTable2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O49:P53" firstHeaderRow="1" firstDataRow="1" firstDataCol="1" rowPageCount="2" colPageCount="1"/>
  <pivotFields count="14">
    <pivotField axis="axisRow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axis="axisRow" showAll="0">
      <items count="2">
        <item x="0"/>
        <item t="default"/>
      </items>
    </pivotField>
    <pivotField numFmtId="14" showAll="0"/>
    <pivotField axis="axisPage" showAll="0">
      <items count="10">
        <item x="8"/>
        <item x="2"/>
        <item x="3"/>
        <item x="0"/>
        <item x="1"/>
        <item x="5"/>
        <item x="6"/>
        <item x="7"/>
        <item x="4"/>
        <item t="default"/>
      </items>
    </pivotField>
    <pivotField axis="axisPage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2">
    <field x="1"/>
    <field x="0"/>
  </rowFields>
  <rowItems count="4">
    <i>
      <x/>
    </i>
    <i r="1">
      <x v="3"/>
    </i>
    <i r="1">
      <x v="6"/>
    </i>
    <i t="grand">
      <x/>
    </i>
  </rowItems>
  <colItems count="1">
    <i/>
  </colItems>
  <pageFields count="2">
    <pageField fld="3" item="3" hier="-1"/>
    <pageField fld="4" hier="-1"/>
  </pageFields>
  <dataFields count="1">
    <dataField name="RATE" fld="12" subtotal="average" baseField="1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8E28A-B4DB-4C7B-9C04-D16A9B79A051}" name="PivotTable2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B27:C30" firstHeaderRow="1" firstDataRow="1" firstDataCol="1" rowPageCount="2" colPageCount="1"/>
  <pivotFields count="14">
    <pivotField axis="axisRow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axis="axisRow" showAll="0">
      <items count="2">
        <item x="0"/>
        <item t="default"/>
      </items>
    </pivotField>
    <pivotField numFmtId="14" showAll="0"/>
    <pivotField axis="axisPage" showAll="0">
      <items count="10">
        <item x="8"/>
        <item x="2"/>
        <item x="3"/>
        <item x="0"/>
        <item x="1"/>
        <item x="5"/>
        <item x="6"/>
        <item x="7"/>
        <item x="4"/>
        <item t="default"/>
      </items>
    </pivotField>
    <pivotField axis="axisPage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2">
    <field x="1"/>
    <field x="0"/>
  </rowFields>
  <rowItems count="3">
    <i>
      <x/>
    </i>
    <i r="1">
      <x/>
    </i>
    <i t="grand">
      <x/>
    </i>
  </rowItems>
  <colItems count="1">
    <i/>
  </colItems>
  <pageFields count="2">
    <pageField fld="3" item="6" hier="-1"/>
    <pageField fld="4" hier="-1"/>
  </pageFields>
  <dataFields count="1">
    <dataField name="RATE" fld="12" subtotal="average" baseField="1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5F4480-DCD5-4360-899D-5EEB6809EDFC}" name="PivotTable2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O70:P73" firstHeaderRow="1" firstDataRow="1" firstDataCol="1" rowPageCount="2" colPageCount="1"/>
  <pivotFields count="14">
    <pivotField axis="axisRow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axis="axisRow" showAll="0">
      <items count="2">
        <item x="0"/>
        <item t="default"/>
      </items>
    </pivotField>
    <pivotField numFmtId="14" showAll="0"/>
    <pivotField axis="axisPage" showAll="0">
      <items count="10">
        <item x="8"/>
        <item x="2"/>
        <item x="3"/>
        <item x="0"/>
        <item x="1"/>
        <item x="5"/>
        <item x="6"/>
        <item x="7"/>
        <item x="4"/>
        <item t="default"/>
      </items>
    </pivotField>
    <pivotField axis="axisPage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2">
    <field x="1"/>
    <field x="0"/>
  </rowFields>
  <rowItems count="3">
    <i>
      <x/>
    </i>
    <i r="1">
      <x v="10"/>
    </i>
    <i t="grand">
      <x/>
    </i>
  </rowItems>
  <colItems count="1">
    <i/>
  </colItems>
  <pageFields count="2">
    <pageField fld="3" item="8" hier="-1"/>
    <pageField fld="4" hier="-1"/>
  </pageFields>
  <dataFields count="1">
    <dataField name="RATE" fld="12" subtotal="average" baseField="1" baseItem="0" numFmtId="164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830ED-8927-4755-8501-7DFC778792DA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H4:DJ7" firstHeaderRow="1" firstDataRow="2" firstDataCol="1" rowPageCount="1" colPageCount="1"/>
  <pivotFields count="14">
    <pivotField axis="axisCol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showAll="0"/>
    <pivotField numFmtId="14" showAll="0"/>
    <pivotField axis="axisPage" showAll="0">
      <items count="10">
        <item x="5"/>
        <item x="0"/>
        <item x="1"/>
        <item x="2"/>
        <item x="3"/>
        <item x="4"/>
        <item x="6"/>
        <item x="7"/>
        <item x="8"/>
        <item t="default"/>
      </items>
    </pivotField>
    <pivotField axis="axisRow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4"/>
  </rowFields>
  <rowItems count="2">
    <i>
      <x v="1"/>
    </i>
    <i t="grand">
      <x/>
    </i>
  </rowItems>
  <colFields count="1">
    <field x="0"/>
  </colFields>
  <colItems count="2">
    <i>
      <x/>
    </i>
    <i t="grand">
      <x/>
    </i>
  </colItems>
  <pageFields count="1">
    <pageField fld="3" item="6" hier="-1"/>
  </pageFields>
  <dataFields count="1">
    <dataField name="Sum of OPERATING RAT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D0FF5-F6F2-4E98-A793-3425B75F1FFE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M4:EO7" firstHeaderRow="1" firstDataRow="2" firstDataCol="1" rowPageCount="1" colPageCount="1"/>
  <pivotFields count="14">
    <pivotField axis="axisCol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showAll="0"/>
    <pivotField numFmtId="14" showAll="0"/>
    <pivotField axis="axisPage" showAll="0">
      <items count="10">
        <item x="5"/>
        <item x="0"/>
        <item x="1"/>
        <item x="2"/>
        <item x="3"/>
        <item x="4"/>
        <item x="6"/>
        <item x="7"/>
        <item x="8"/>
        <item t="default"/>
      </items>
    </pivotField>
    <pivotField axis="axisRow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4"/>
  </rowFields>
  <rowItems count="2">
    <i>
      <x v="1"/>
    </i>
    <i t="grand">
      <x/>
    </i>
  </rowItems>
  <colFields count="1">
    <field x="0"/>
  </colFields>
  <colItems count="2">
    <i>
      <x v="2"/>
    </i>
    <i t="grand">
      <x/>
    </i>
  </colItems>
  <pageFields count="1">
    <pageField fld="3" item="8" hier="-1"/>
  </pageFields>
  <dataFields count="1">
    <dataField name="Sum of OPERATING RAT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F4683-225E-491F-BC53-BACA1AD4F4FB}" name="PivotTable2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O27:P31" firstHeaderRow="1" firstDataRow="1" firstDataCol="1" rowPageCount="2" colPageCount="1"/>
  <pivotFields count="14">
    <pivotField axis="axisRow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axis="axisRow" showAll="0">
      <items count="2">
        <item x="0"/>
        <item t="default"/>
      </items>
    </pivotField>
    <pivotField numFmtId="14" showAll="0"/>
    <pivotField axis="axisPage" showAll="0">
      <items count="10">
        <item x="8"/>
        <item x="2"/>
        <item x="3"/>
        <item x="0"/>
        <item x="1"/>
        <item x="5"/>
        <item x="6"/>
        <item x="7"/>
        <item x="4"/>
        <item t="default"/>
      </items>
    </pivotField>
    <pivotField axis="axisPage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2">
    <field x="1"/>
    <field x="0"/>
  </rowFields>
  <rowItems count="4">
    <i>
      <x/>
    </i>
    <i r="1">
      <x v="4"/>
    </i>
    <i r="1">
      <x v="7"/>
    </i>
    <i t="grand">
      <x/>
    </i>
  </rowItems>
  <colItems count="1">
    <i/>
  </colItems>
  <pageFields count="2">
    <pageField fld="3" item="4" hier="-1"/>
    <pageField fld="4" hier="-1"/>
  </pageFields>
  <dataFields count="1">
    <dataField name="RATE" fld="12" subtotal="average" baseField="1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61318-0B3E-47A8-BB7B-19F4A3469DF7}" name="PivotTable8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D4:AF7" firstHeaderRow="1" firstDataRow="2" firstDataCol="1" rowPageCount="1" colPageCount="1"/>
  <pivotFields count="14">
    <pivotField axis="axisCol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showAll="0"/>
    <pivotField numFmtId="14" showAll="0"/>
    <pivotField axis="axisPage" showAll="0">
      <items count="10">
        <item x="5"/>
        <item x="0"/>
        <item x="1"/>
        <item x="2"/>
        <item x="3"/>
        <item x="4"/>
        <item x="6"/>
        <item x="7"/>
        <item x="8"/>
        <item t="default"/>
      </items>
    </pivotField>
    <pivotField axis="axisRow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4"/>
  </rowFields>
  <rowItems count="2">
    <i>
      <x v="1"/>
    </i>
    <i t="grand">
      <x/>
    </i>
  </rowItems>
  <colFields count="1">
    <field x="0"/>
  </colFields>
  <colItems count="2">
    <i>
      <x v="11"/>
    </i>
    <i t="grand">
      <x/>
    </i>
  </colItems>
  <pageFields count="1">
    <pageField fld="3" item="0" hier="-1"/>
  </pageFields>
  <dataFields count="1">
    <dataField name="Sum of OPERATING RAT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94390-7516-4808-9564-94C6298A0B64}" name="PivotTable2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B70:C73" firstHeaderRow="1" firstDataRow="1" firstDataCol="1" rowPageCount="2" colPageCount="1"/>
  <pivotFields count="14">
    <pivotField axis="axisRow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axis="axisRow" showAll="0">
      <items count="2">
        <item x="0"/>
        <item t="default"/>
      </items>
    </pivotField>
    <pivotField numFmtId="14" showAll="0"/>
    <pivotField axis="axisPage" showAll="0">
      <items count="10">
        <item x="8"/>
        <item x="2"/>
        <item x="3"/>
        <item x="0"/>
        <item x="1"/>
        <item x="5"/>
        <item x="6"/>
        <item x="7"/>
        <item x="4"/>
        <item t="default"/>
      </items>
    </pivotField>
    <pivotField axis="axisPage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2">
    <field x="1"/>
    <field x="0"/>
  </rowFields>
  <rowItems count="3">
    <i>
      <x/>
    </i>
    <i r="1">
      <x v="2"/>
    </i>
    <i t="grand">
      <x/>
    </i>
  </rowItems>
  <colItems count="1">
    <i/>
  </colItems>
  <pageFields count="2">
    <pageField fld="3" item="0" hier="-1"/>
    <pageField fld="4" hier="-1"/>
  </pageFields>
  <dataFields count="1">
    <dataField name="RATE" fld="12" subtotal="average" baseField="1" baseItem="0" numFmtId="164"/>
  </dataFields>
  <formats count="2">
    <format dxfId="16">
      <pivotArea collapsedLevelsAreSubtotals="1" fieldPosition="0">
        <references count="2">
          <reference field="0" count="1">
            <x v="2"/>
          </reference>
          <reference field="1" count="0" selected="0"/>
        </references>
      </pivotArea>
    </format>
    <format dxfId="15">
      <pivotArea outline="0" fieldPosition="0">
        <references count="1">
          <reference field="4294967294" count="1">
            <x v="0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3DF35-F900-4B9E-A461-7854FE3E9E8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C7:D21" firstHeaderRow="1" firstDataRow="1" firstDataCol="1" rowPageCount="1" colPageCount="1"/>
  <pivotFields count="14">
    <pivotField axis="axisRow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axis="axisRow" showAll="0">
      <items count="2">
        <item x="0"/>
        <item t="default"/>
      </items>
    </pivotField>
    <pivotField numFmtId="14" showAll="0"/>
    <pivotField showAll="0"/>
    <pivotField axis="axisPage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2">
    <field x="1"/>
    <field x="0"/>
  </rowFields>
  <rowItems count="1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pageFields count="1">
    <pageField fld="4" hier="-1"/>
  </pageFields>
  <dataFields count="1">
    <dataField name="RATE" fld="12" subtotal="average" baseField="0" baseItem="0"/>
  </dataFields>
  <formats count="2">
    <format dxfId="18">
      <pivotArea collapsedLevelsAreSubtotals="1" fieldPosition="0">
        <references count="2">
          <reference field="0" count="1">
            <x v="0"/>
          </reference>
          <reference field="1" count="0" selected="0"/>
        </references>
      </pivotArea>
    </format>
    <format dxfId="17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71DFAE-D88A-41F3-BFC3-CA435140B509}" name="Table4" displayName="Table4" ref="C2:O14" totalsRowShown="0">
  <autoFilter ref="C2:O14" xr:uid="{8771DFAE-D88A-41F3-BFC3-CA435140B509}"/>
  <tableColumns count="13">
    <tableColumn id="1" xr3:uid="{AA0F4A8A-C024-4FC6-9787-B30556B07C4D}" name="MONTH" dataDxfId="14">
      <calculatedColumnFormula>TEXT(E3, "mmm")</calculatedColumnFormula>
    </tableColumn>
    <tableColumn id="12" xr3:uid="{A8A40FED-5AE6-4F3B-A482-2DC859CBECE8}" name="YEAR" dataDxfId="13">
      <calculatedColumnFormula>TEXT(Table4[[#This Row],[DATE]], "yyyy")</calculatedColumnFormula>
    </tableColumn>
    <tableColumn id="2" xr3:uid="{53BAB48D-3DEC-4471-BE46-1798702D2303}" name="DATE" dataDxfId="12"/>
    <tableColumn id="3" xr3:uid="{66B8BA99-4483-49FA-917F-E23A0082F7AE}" name="MACHINE" dataDxfId="11"/>
    <tableColumn id="4" xr3:uid="{807EF872-0464-40F2-9E8E-2E197E4E4F0F}" name="ITEM NO" dataDxfId="10"/>
    <tableColumn id="5" xr3:uid="{62AABD23-67B8-4240-81EE-9690684F857B}" name="ITEM NAME" dataDxfId="9"/>
    <tableColumn id="6" xr3:uid="{ECC4F505-5088-4655-955E-FFCF79127D17}" name="SPEED (M)" dataDxfId="8"/>
    <tableColumn id="7" xr3:uid="{88E606BF-77D9-43BC-A245-5060F9FFB2DC}" name="SPEED (H)" dataDxfId="7"/>
    <tableColumn id="13" xr3:uid="{559CFE2C-A093-4C69-8644-EA4041670421}" name="OPERATOR" dataDxfId="6"/>
    <tableColumn id="8" xr3:uid="{34427C21-CCE4-495D-849E-C8CE3AAF98F2}" name="DANDORI T." dataDxfId="5"/>
    <tableColumn id="9" xr3:uid="{D5BBBED8-248D-4454-BE79-04A39D6BF301}" name="RUNNING T. " dataDxfId="4"/>
    <tableColumn id="10" xr3:uid="{B0EFB25E-6FC0-43A9-9EF6-C8CD305D25B8}" name="PRODUCT QTY" dataDxfId="3"/>
    <tableColumn id="11" xr3:uid="{D9DBE70D-60F1-4AB6-B94B-1334C66C922A}" name="OPERATING RATE" dataDxfId="2">
      <calculatedColumnFormula>IF(Table4[[#This Row],[PRODUCT QTY]] = "", "", Table4[[#This Row],[PRODUCT QTY]]/(Table4[[#This Row],[RUNNING T. ]]*Table4[[#This Row],[SPEED (M)]]))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7F42-980B-4ACC-98D8-189DCD67ED8A}">
  <dimension ref="B4:H6"/>
  <sheetViews>
    <sheetView workbookViewId="0">
      <selection activeCell="I8" sqref="I8"/>
    </sheetView>
  </sheetViews>
  <sheetFormatPr defaultRowHeight="15" x14ac:dyDescent="0.25"/>
  <cols>
    <col min="2" max="2" width="16" bestFit="1" customWidth="1"/>
    <col min="3" max="3" width="16.85546875" bestFit="1" customWidth="1"/>
    <col min="4" max="5" width="4.28515625" bestFit="1" customWidth="1"/>
    <col min="6" max="6" width="4" bestFit="1" customWidth="1"/>
    <col min="7" max="7" width="4.5703125" bestFit="1" customWidth="1"/>
    <col min="8" max="9" width="4" bestFit="1" customWidth="1"/>
    <col min="10" max="10" width="4.28515625" bestFit="1" customWidth="1"/>
    <col min="11" max="11" width="4.42578125" bestFit="1" customWidth="1"/>
    <col min="12" max="12" width="4.140625" bestFit="1" customWidth="1"/>
    <col min="13" max="14" width="4.5703125" bestFit="1" customWidth="1"/>
    <col min="15" max="15" width="11.28515625" bestFit="1" customWidth="1"/>
  </cols>
  <sheetData>
    <row r="4" spans="2:8" x14ac:dyDescent="0.25">
      <c r="B4" s="18" t="s">
        <v>44</v>
      </c>
      <c r="C4" s="18"/>
      <c r="D4" s="18"/>
      <c r="E4" s="18"/>
      <c r="F4" s="18"/>
      <c r="G4" s="18"/>
      <c r="H4" s="18"/>
    </row>
    <row r="5" spans="2:8" x14ac:dyDescent="0.25">
      <c r="B5" s="18"/>
      <c r="C5" s="18"/>
      <c r="D5" s="18"/>
      <c r="E5" s="18"/>
      <c r="F5" s="18"/>
      <c r="G5" s="18"/>
      <c r="H5" s="18"/>
    </row>
    <row r="6" spans="2:8" x14ac:dyDescent="0.25">
      <c r="B6" s="18"/>
      <c r="C6" s="18"/>
      <c r="D6" s="18"/>
      <c r="E6" s="18"/>
      <c r="F6" s="18"/>
      <c r="G6" s="18"/>
      <c r="H6" s="18"/>
    </row>
  </sheetData>
  <mergeCells count="1">
    <mergeCell ref="B4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2A77-0B50-4D3E-976E-C28EC7E294D0}">
  <sheetPr>
    <tabColor rgb="FFFFFF00"/>
  </sheetPr>
  <dimension ref="B1:FD95"/>
  <sheetViews>
    <sheetView topLeftCell="A67" zoomScaleNormal="100" workbookViewId="0">
      <selection activeCell="P101" sqref="P101"/>
    </sheetView>
  </sheetViews>
  <sheetFormatPr defaultRowHeight="15" x14ac:dyDescent="0.25"/>
  <cols>
    <col min="2" max="2" width="13.42578125" bestFit="1" customWidth="1"/>
    <col min="3" max="3" width="9.7109375" bestFit="1" customWidth="1"/>
    <col min="4" max="4" width="8" hidden="1" customWidth="1"/>
    <col min="5" max="5" width="38.5703125" hidden="1" customWidth="1"/>
    <col min="14" max="14" width="9" customWidth="1"/>
    <col min="15" max="15" width="13.42578125" bestFit="1" customWidth="1"/>
    <col min="16" max="16" width="8" bestFit="1" customWidth="1"/>
    <col min="17" max="17" width="8" hidden="1" customWidth="1"/>
    <col min="18" max="18" width="37" hidden="1" customWidth="1"/>
    <col min="19" max="19" width="16.85546875" bestFit="1" customWidth="1"/>
    <col min="20" max="20" width="11.28515625" bestFit="1" customWidth="1"/>
    <col min="22" max="22" width="23.7109375" bestFit="1" customWidth="1"/>
    <col min="23" max="23" width="16.85546875" bestFit="1" customWidth="1"/>
    <col min="24" max="24" width="11.28515625" bestFit="1" customWidth="1"/>
    <col min="30" max="30" width="23.7109375" bestFit="1" customWidth="1"/>
    <col min="31" max="31" width="16.85546875" bestFit="1" customWidth="1"/>
    <col min="32" max="33" width="11.28515625" bestFit="1" customWidth="1"/>
    <col min="46" max="46" width="23.7109375" bestFit="1" customWidth="1"/>
    <col min="47" max="47" width="16.85546875" bestFit="1" customWidth="1"/>
    <col min="48" max="48" width="3.42578125" bestFit="1" customWidth="1"/>
    <col min="49" max="49" width="11.28515625" bestFit="1" customWidth="1"/>
    <col min="50" max="50" width="4.28515625" bestFit="1" customWidth="1"/>
    <col min="51" max="51" width="11.28515625" bestFit="1" customWidth="1"/>
    <col min="64" max="64" width="23.7109375" bestFit="1" customWidth="1"/>
    <col min="65" max="65" width="16.85546875" bestFit="1" customWidth="1"/>
    <col min="66" max="66" width="4.28515625" bestFit="1" customWidth="1"/>
    <col min="67" max="68" width="11.28515625" bestFit="1" customWidth="1"/>
    <col min="81" max="81" width="23.7109375" bestFit="1" customWidth="1"/>
    <col min="82" max="82" width="16.85546875" bestFit="1" customWidth="1"/>
    <col min="83" max="83" width="4.42578125" bestFit="1" customWidth="1"/>
    <col min="84" max="84" width="11.28515625" bestFit="1" customWidth="1"/>
    <col min="96" max="97" width="23.7109375" bestFit="1" customWidth="1"/>
    <col min="98" max="98" width="16.85546875" bestFit="1" customWidth="1"/>
    <col min="99" max="99" width="11.28515625" bestFit="1" customWidth="1"/>
    <col min="112" max="112" width="23.7109375" bestFit="1" customWidth="1"/>
    <col min="113" max="113" width="16.85546875" bestFit="1" customWidth="1"/>
    <col min="114" max="114" width="11.28515625" bestFit="1" customWidth="1"/>
    <col min="127" max="128" width="23.7109375" bestFit="1" customWidth="1"/>
    <col min="129" max="129" width="16.85546875" bestFit="1" customWidth="1"/>
    <col min="130" max="130" width="11.28515625" bestFit="1" customWidth="1"/>
    <col min="143" max="143" width="23.7109375" bestFit="1" customWidth="1"/>
    <col min="144" max="144" width="16.85546875" bestFit="1" customWidth="1"/>
    <col min="145" max="145" width="11.28515625" bestFit="1" customWidth="1"/>
    <col min="158" max="158" width="23.7109375" bestFit="1" customWidth="1"/>
    <col min="159" max="159" width="16.85546875" bestFit="1" customWidth="1"/>
    <col min="160" max="160" width="11.28515625" bestFit="1" customWidth="1"/>
  </cols>
  <sheetData>
    <row r="1" spans="2:160" ht="57" customHeight="1" x14ac:dyDescent="0.25">
      <c r="N1" s="19" t="s">
        <v>11</v>
      </c>
      <c r="O1" s="19"/>
      <c r="P1" s="19"/>
      <c r="Q1" s="19"/>
      <c r="R1" s="19"/>
      <c r="S1" s="19"/>
    </row>
    <row r="2" spans="2:160" x14ac:dyDescent="0.25">
      <c r="B2" s="10" t="s">
        <v>1</v>
      </c>
      <c r="C2" t="s">
        <v>24</v>
      </c>
      <c r="E2" t="str">
        <f>"OPERATING RATE "&amp;C2&amp;" (TARGET 85%)"</f>
        <v>OPERATING RATE SF-100-2 (TARGET 85%)</v>
      </c>
      <c r="O2" s="10" t="s">
        <v>1</v>
      </c>
      <c r="P2" t="s">
        <v>23</v>
      </c>
      <c r="R2" t="str">
        <f>"OPERATING RATE "&amp;P2&amp;" (TARGET 85%)"</f>
        <v>OPERATING RATE SF-100-1 (TARGET 85%)</v>
      </c>
      <c r="AD2" s="10" t="s">
        <v>1</v>
      </c>
      <c r="AE2" t="s">
        <v>17</v>
      </c>
      <c r="AT2" s="10" t="s">
        <v>1</v>
      </c>
      <c r="AU2" t="s">
        <v>21</v>
      </c>
      <c r="BL2" s="10" t="s">
        <v>1</v>
      </c>
      <c r="BM2" t="s">
        <v>22</v>
      </c>
      <c r="CC2" s="10" t="s">
        <v>1</v>
      </c>
      <c r="CD2" t="s">
        <v>23</v>
      </c>
      <c r="CS2" s="10" t="s">
        <v>1</v>
      </c>
      <c r="CT2" t="s">
        <v>24</v>
      </c>
      <c r="DH2" s="10" t="s">
        <v>1</v>
      </c>
      <c r="DI2" t="s">
        <v>26</v>
      </c>
      <c r="DX2" s="10" t="s">
        <v>1</v>
      </c>
      <c r="DY2" t="s">
        <v>27</v>
      </c>
      <c r="EM2" s="10" t="s">
        <v>1</v>
      </c>
      <c r="EN2" t="s">
        <v>28</v>
      </c>
      <c r="FB2" s="10" t="s">
        <v>1</v>
      </c>
      <c r="FC2" t="s">
        <v>25</v>
      </c>
    </row>
    <row r="3" spans="2:160" x14ac:dyDescent="0.25">
      <c r="B3" s="10" t="s">
        <v>2</v>
      </c>
      <c r="C3" t="s">
        <v>45</v>
      </c>
      <c r="O3" s="10" t="s">
        <v>2</v>
      </c>
      <c r="P3" t="s">
        <v>45</v>
      </c>
    </row>
    <row r="4" spans="2:160" x14ac:dyDescent="0.25">
      <c r="AD4" s="10" t="s">
        <v>20</v>
      </c>
      <c r="AE4" s="10" t="s">
        <v>16</v>
      </c>
      <c r="AT4" s="10" t="s">
        <v>20</v>
      </c>
      <c r="AU4" s="10" t="s">
        <v>16</v>
      </c>
      <c r="BL4" s="10" t="s">
        <v>20</v>
      </c>
      <c r="BM4" s="10" t="s">
        <v>16</v>
      </c>
      <c r="CC4" s="10" t="s">
        <v>20</v>
      </c>
      <c r="CD4" s="10" t="s">
        <v>16</v>
      </c>
      <c r="CS4" s="10" t="s">
        <v>20</v>
      </c>
      <c r="CT4" s="10" t="s">
        <v>16</v>
      </c>
      <c r="DH4" s="10" t="s">
        <v>20</v>
      </c>
      <c r="DI4" s="10" t="s">
        <v>16</v>
      </c>
      <c r="DX4" s="10" t="s">
        <v>20</v>
      </c>
      <c r="DY4" s="10" t="s">
        <v>16</v>
      </c>
      <c r="EM4" s="10" t="s">
        <v>20</v>
      </c>
      <c r="EN4" s="10" t="s">
        <v>16</v>
      </c>
      <c r="FB4" s="10" t="s">
        <v>20</v>
      </c>
      <c r="FC4" s="10" t="s">
        <v>16</v>
      </c>
    </row>
    <row r="5" spans="2:160" x14ac:dyDescent="0.25">
      <c r="B5" s="10" t="s">
        <v>12</v>
      </c>
      <c r="C5" t="s">
        <v>40</v>
      </c>
      <c r="O5" s="10" t="s">
        <v>12</v>
      </c>
      <c r="P5" t="s">
        <v>40</v>
      </c>
      <c r="AD5" s="10" t="s">
        <v>12</v>
      </c>
      <c r="AE5" t="s">
        <v>29</v>
      </c>
      <c r="AF5" t="s">
        <v>14</v>
      </c>
      <c r="AT5" s="10" t="s">
        <v>12</v>
      </c>
      <c r="AU5" t="s">
        <v>38</v>
      </c>
      <c r="AV5" t="s">
        <v>19</v>
      </c>
      <c r="AW5" t="s">
        <v>14</v>
      </c>
      <c r="BL5" s="10" t="s">
        <v>12</v>
      </c>
      <c r="BM5" t="s">
        <v>37</v>
      </c>
      <c r="BN5" t="s">
        <v>30</v>
      </c>
      <c r="BO5" t="s">
        <v>14</v>
      </c>
      <c r="CC5" s="10" t="s">
        <v>12</v>
      </c>
      <c r="CD5" t="s">
        <v>36</v>
      </c>
      <c r="CE5" t="s">
        <v>31</v>
      </c>
      <c r="CF5" t="s">
        <v>14</v>
      </c>
      <c r="CS5" s="10" t="s">
        <v>12</v>
      </c>
      <c r="CT5" t="s">
        <v>32</v>
      </c>
      <c r="CU5" t="s">
        <v>14</v>
      </c>
      <c r="DH5" s="10" t="s">
        <v>12</v>
      </c>
      <c r="DI5" t="s">
        <v>15</v>
      </c>
      <c r="DJ5" t="s">
        <v>14</v>
      </c>
      <c r="DX5" s="10" t="s">
        <v>12</v>
      </c>
      <c r="DY5" t="s">
        <v>33</v>
      </c>
      <c r="DZ5" t="s">
        <v>14</v>
      </c>
      <c r="EM5" s="10" t="s">
        <v>12</v>
      </c>
      <c r="EN5" t="s">
        <v>34</v>
      </c>
      <c r="EO5" t="s">
        <v>14</v>
      </c>
      <c r="FB5" s="10" t="s">
        <v>12</v>
      </c>
      <c r="FC5" t="s">
        <v>39</v>
      </c>
      <c r="FD5" t="s">
        <v>14</v>
      </c>
    </row>
    <row r="6" spans="2:160" x14ac:dyDescent="0.25">
      <c r="B6" s="11" t="s">
        <v>43</v>
      </c>
      <c r="C6" s="16">
        <v>1</v>
      </c>
      <c r="O6" s="11" t="s">
        <v>43</v>
      </c>
      <c r="P6" s="16">
        <v>1</v>
      </c>
      <c r="AD6" s="11" t="s">
        <v>13</v>
      </c>
      <c r="AE6">
        <v>1</v>
      </c>
      <c r="AF6">
        <v>1</v>
      </c>
      <c r="AT6" s="11" t="s">
        <v>13</v>
      </c>
      <c r="AU6">
        <v>1</v>
      </c>
      <c r="AV6">
        <v>1</v>
      </c>
      <c r="AW6">
        <v>2</v>
      </c>
      <c r="BL6" s="11" t="s">
        <v>13</v>
      </c>
      <c r="BM6">
        <v>1</v>
      </c>
      <c r="BN6">
        <v>1</v>
      </c>
      <c r="BO6">
        <v>2</v>
      </c>
      <c r="CC6" s="11" t="s">
        <v>13</v>
      </c>
      <c r="CD6">
        <v>1</v>
      </c>
      <c r="CE6">
        <v>1</v>
      </c>
      <c r="CF6">
        <v>2</v>
      </c>
      <c r="CS6" s="11" t="s">
        <v>13</v>
      </c>
      <c r="CT6">
        <v>1</v>
      </c>
      <c r="CU6">
        <v>1</v>
      </c>
      <c r="DH6" s="11" t="s">
        <v>13</v>
      </c>
      <c r="DI6">
        <v>1</v>
      </c>
      <c r="DJ6">
        <v>1</v>
      </c>
      <c r="DX6" s="11" t="s">
        <v>13</v>
      </c>
      <c r="DY6">
        <v>1</v>
      </c>
      <c r="DZ6">
        <v>1</v>
      </c>
      <c r="EM6" s="11" t="s">
        <v>13</v>
      </c>
      <c r="EN6">
        <v>1</v>
      </c>
      <c r="EO6">
        <v>1</v>
      </c>
      <c r="FB6" s="11" t="s">
        <v>13</v>
      </c>
      <c r="FC6">
        <v>1</v>
      </c>
      <c r="FD6">
        <v>1</v>
      </c>
    </row>
    <row r="7" spans="2:160" x14ac:dyDescent="0.25">
      <c r="B7" s="14" t="s">
        <v>32</v>
      </c>
      <c r="C7" s="16">
        <v>1</v>
      </c>
      <c r="O7" s="14" t="s">
        <v>36</v>
      </c>
      <c r="P7" s="16">
        <v>1</v>
      </c>
      <c r="AD7" s="11" t="s">
        <v>14</v>
      </c>
      <c r="AE7">
        <v>1</v>
      </c>
      <c r="AF7">
        <v>1</v>
      </c>
      <c r="AT7" s="11" t="s">
        <v>14</v>
      </c>
      <c r="AU7">
        <v>1</v>
      </c>
      <c r="AV7">
        <v>1</v>
      </c>
      <c r="AW7">
        <v>2</v>
      </c>
      <c r="BL7" s="11" t="s">
        <v>14</v>
      </c>
      <c r="BM7">
        <v>1</v>
      </c>
      <c r="BN7">
        <v>1</v>
      </c>
      <c r="BO7">
        <v>2</v>
      </c>
      <c r="CC7" s="11" t="s">
        <v>14</v>
      </c>
      <c r="CD7">
        <v>1</v>
      </c>
      <c r="CE7">
        <v>1</v>
      </c>
      <c r="CF7">
        <v>2</v>
      </c>
      <c r="CS7" s="11" t="s">
        <v>14</v>
      </c>
      <c r="CT7">
        <v>1</v>
      </c>
      <c r="CU7">
        <v>1</v>
      </c>
      <c r="DH7" s="11" t="s">
        <v>14</v>
      </c>
      <c r="DI7">
        <v>1</v>
      </c>
      <c r="DJ7">
        <v>1</v>
      </c>
      <c r="DX7" s="11" t="s">
        <v>14</v>
      </c>
      <c r="DY7">
        <v>1</v>
      </c>
      <c r="DZ7">
        <v>1</v>
      </c>
      <c r="EM7" s="11" t="s">
        <v>14</v>
      </c>
      <c r="EN7">
        <v>1</v>
      </c>
      <c r="EO7">
        <v>1</v>
      </c>
      <c r="FB7" s="11" t="s">
        <v>14</v>
      </c>
      <c r="FC7">
        <v>1</v>
      </c>
      <c r="FD7">
        <v>1</v>
      </c>
    </row>
    <row r="8" spans="2:160" x14ac:dyDescent="0.25">
      <c r="B8" s="11" t="s">
        <v>14</v>
      </c>
      <c r="C8" s="16">
        <v>1</v>
      </c>
      <c r="O8" s="14" t="s">
        <v>31</v>
      </c>
      <c r="P8" s="16">
        <v>1</v>
      </c>
    </row>
    <row r="9" spans="2:160" x14ac:dyDescent="0.25">
      <c r="O9" s="11" t="s">
        <v>14</v>
      </c>
      <c r="P9" s="16">
        <v>1</v>
      </c>
    </row>
    <row r="24" spans="2:18" x14ac:dyDescent="0.25">
      <c r="B24" s="10" t="s">
        <v>1</v>
      </c>
      <c r="C24" t="s">
        <v>26</v>
      </c>
      <c r="E24" t="str">
        <f>"OPERATING RATE "&amp;C24&amp;" (TARGET 85%)"</f>
        <v>OPERATING RATE SF-50-2 (TARGET 85%)</v>
      </c>
      <c r="O24" s="10" t="s">
        <v>1</v>
      </c>
      <c r="P24" t="s">
        <v>22</v>
      </c>
      <c r="R24" t="str">
        <f>"OPERATING RATE "&amp;P24&amp;" (TARGET 85%)"</f>
        <v>OPERATING RATE SF-200-2 (TARGET 85%)</v>
      </c>
    </row>
    <row r="25" spans="2:18" x14ac:dyDescent="0.25">
      <c r="B25" s="10" t="s">
        <v>2</v>
      </c>
      <c r="C25" t="s">
        <v>45</v>
      </c>
      <c r="O25" s="10" t="s">
        <v>2</v>
      </c>
      <c r="P25" t="s">
        <v>45</v>
      </c>
    </row>
    <row r="27" spans="2:18" x14ac:dyDescent="0.25">
      <c r="B27" s="10" t="s">
        <v>12</v>
      </c>
      <c r="C27" t="s">
        <v>40</v>
      </c>
      <c r="O27" s="10" t="s">
        <v>12</v>
      </c>
      <c r="P27" t="s">
        <v>40</v>
      </c>
    </row>
    <row r="28" spans="2:18" x14ac:dyDescent="0.25">
      <c r="B28" s="11" t="s">
        <v>43</v>
      </c>
      <c r="C28" s="16">
        <v>1</v>
      </c>
      <c r="O28" s="11" t="s">
        <v>43</v>
      </c>
      <c r="P28" s="16">
        <v>1</v>
      </c>
    </row>
    <row r="29" spans="2:18" x14ac:dyDescent="0.25">
      <c r="B29" s="14" t="s">
        <v>15</v>
      </c>
      <c r="C29" s="16">
        <v>1</v>
      </c>
      <c r="O29" s="14" t="s">
        <v>37</v>
      </c>
      <c r="P29" s="16">
        <v>1</v>
      </c>
    </row>
    <row r="30" spans="2:18" x14ac:dyDescent="0.25">
      <c r="B30" s="11" t="s">
        <v>14</v>
      </c>
      <c r="C30" s="16">
        <v>1</v>
      </c>
      <c r="O30" s="14" t="s">
        <v>30</v>
      </c>
      <c r="P30" s="16">
        <v>1</v>
      </c>
    </row>
    <row r="31" spans="2:18" x14ac:dyDescent="0.25">
      <c r="O31" s="11" t="s">
        <v>14</v>
      </c>
      <c r="P31" s="16">
        <v>1</v>
      </c>
    </row>
    <row r="46" spans="2:18" x14ac:dyDescent="0.25">
      <c r="E46" t="str">
        <f>"OPERATING RATE "&amp;C47&amp;" (TARGET 85%)"</f>
        <v>OPERATING RATE SF-50-3 (TARGET 85%)</v>
      </c>
      <c r="O46" s="10" t="s">
        <v>1</v>
      </c>
      <c r="P46" t="s">
        <v>21</v>
      </c>
      <c r="R46" t="str">
        <f>"OPERATING RATE "&amp;P46&amp;" (TARGET 85%)"</f>
        <v>OPERATING RATE SF-200-1 (TARGET 85%)</v>
      </c>
    </row>
    <row r="47" spans="2:18" x14ac:dyDescent="0.25">
      <c r="B47" s="10" t="s">
        <v>1</v>
      </c>
      <c r="C47" t="s">
        <v>27</v>
      </c>
      <c r="O47" s="10" t="s">
        <v>2</v>
      </c>
      <c r="P47" t="s">
        <v>45</v>
      </c>
    </row>
    <row r="48" spans="2:18" x14ac:dyDescent="0.25">
      <c r="B48" s="10" t="s">
        <v>2</v>
      </c>
      <c r="C48" t="s">
        <v>45</v>
      </c>
    </row>
    <row r="49" spans="2:16" x14ac:dyDescent="0.25">
      <c r="O49" s="10" t="s">
        <v>12</v>
      </c>
      <c r="P49" t="s">
        <v>40</v>
      </c>
    </row>
    <row r="50" spans="2:16" x14ac:dyDescent="0.25">
      <c r="B50" s="10" t="s">
        <v>12</v>
      </c>
      <c r="C50" t="s">
        <v>40</v>
      </c>
      <c r="O50" s="11" t="s">
        <v>43</v>
      </c>
      <c r="P50" s="16">
        <v>1</v>
      </c>
    </row>
    <row r="51" spans="2:16" x14ac:dyDescent="0.25">
      <c r="B51" s="11" t="s">
        <v>43</v>
      </c>
      <c r="C51" s="16">
        <v>1</v>
      </c>
      <c r="O51" s="14" t="s">
        <v>38</v>
      </c>
      <c r="P51" s="16">
        <v>1</v>
      </c>
    </row>
    <row r="52" spans="2:16" x14ac:dyDescent="0.25">
      <c r="B52" s="14" t="s">
        <v>33</v>
      </c>
      <c r="C52" s="16">
        <v>1</v>
      </c>
      <c r="O52" s="14" t="s">
        <v>19</v>
      </c>
      <c r="P52" s="16">
        <v>1</v>
      </c>
    </row>
    <row r="53" spans="2:16" x14ac:dyDescent="0.25">
      <c r="B53" s="11" t="s">
        <v>14</v>
      </c>
      <c r="C53" s="16">
        <v>1</v>
      </c>
      <c r="O53" s="11" t="s">
        <v>14</v>
      </c>
      <c r="P53" s="16">
        <v>1</v>
      </c>
    </row>
    <row r="67" spans="2:18" x14ac:dyDescent="0.25">
      <c r="B67" s="10" t="s">
        <v>1</v>
      </c>
      <c r="C67" t="s">
        <v>28</v>
      </c>
      <c r="E67" t="str">
        <f>"OPERATING RATE "&amp;C67&amp;" (TARGET 85%)"</f>
        <v>OPERATING RATE JBP-13B7S (TARGET 85%)</v>
      </c>
      <c r="O67" s="10" t="s">
        <v>1</v>
      </c>
      <c r="P67" t="s">
        <v>25</v>
      </c>
      <c r="R67" t="str">
        <f>"OPERATING RATE "&amp;P67&amp;" (TARGET 85%)"</f>
        <v>OPERATING RATE SF-80 (TARGET 85%)</v>
      </c>
    </row>
    <row r="68" spans="2:18" x14ac:dyDescent="0.25">
      <c r="B68" s="10" t="s">
        <v>2</v>
      </c>
      <c r="C68" t="s">
        <v>45</v>
      </c>
      <c r="O68" s="10" t="s">
        <v>2</v>
      </c>
      <c r="P68" t="s">
        <v>45</v>
      </c>
    </row>
    <row r="70" spans="2:18" x14ac:dyDescent="0.25">
      <c r="B70" s="10" t="s">
        <v>12</v>
      </c>
      <c r="C70" t="s">
        <v>40</v>
      </c>
      <c r="O70" s="10" t="s">
        <v>12</v>
      </c>
      <c r="P70" t="s">
        <v>40</v>
      </c>
    </row>
    <row r="71" spans="2:18" x14ac:dyDescent="0.25">
      <c r="B71" s="11" t="s">
        <v>43</v>
      </c>
      <c r="C71" s="16">
        <v>1</v>
      </c>
      <c r="O71" s="11" t="s">
        <v>43</v>
      </c>
      <c r="P71" s="16">
        <v>1</v>
      </c>
    </row>
    <row r="72" spans="2:18" x14ac:dyDescent="0.25">
      <c r="B72" s="14" t="s">
        <v>34</v>
      </c>
      <c r="C72" s="16">
        <v>1</v>
      </c>
      <c r="O72" s="14" t="s">
        <v>39</v>
      </c>
      <c r="P72" s="16">
        <v>1</v>
      </c>
    </row>
    <row r="73" spans="2:18" x14ac:dyDescent="0.25">
      <c r="B73" s="11" t="s">
        <v>14</v>
      </c>
      <c r="C73" s="16">
        <v>1</v>
      </c>
      <c r="O73" s="11" t="s">
        <v>14</v>
      </c>
      <c r="P73" s="16">
        <v>1</v>
      </c>
    </row>
    <row r="89" spans="2:5" x14ac:dyDescent="0.25">
      <c r="B89" s="10" t="s">
        <v>1</v>
      </c>
      <c r="C89" t="s">
        <v>17</v>
      </c>
      <c r="E89" t="str">
        <f>"OPERATING RATE "&amp;C89&amp;" (TARGET 85%)"</f>
        <v>OPERATING RATE SF-50-1 (TARGET 85%)</v>
      </c>
    </row>
    <row r="90" spans="2:5" x14ac:dyDescent="0.25">
      <c r="B90" s="10" t="s">
        <v>2</v>
      </c>
      <c r="C90" t="s">
        <v>45</v>
      </c>
    </row>
    <row r="92" spans="2:5" x14ac:dyDescent="0.25">
      <c r="B92" s="10" t="s">
        <v>12</v>
      </c>
      <c r="C92" t="s">
        <v>40</v>
      </c>
    </row>
    <row r="93" spans="2:5" x14ac:dyDescent="0.25">
      <c r="B93" s="11" t="s">
        <v>43</v>
      </c>
      <c r="C93" s="16">
        <v>1</v>
      </c>
    </row>
    <row r="94" spans="2:5" x14ac:dyDescent="0.25">
      <c r="B94" s="14" t="s">
        <v>29</v>
      </c>
      <c r="C94" s="16">
        <v>1</v>
      </c>
    </row>
    <row r="95" spans="2:5" x14ac:dyDescent="0.25">
      <c r="B95" s="11" t="s">
        <v>14</v>
      </c>
      <c r="C95" s="16">
        <v>1</v>
      </c>
    </row>
  </sheetData>
  <mergeCells count="1">
    <mergeCell ref="N1:S1"/>
  </mergeCells>
  <pageMargins left="0.7" right="0.7" top="0.75" bottom="0.75" header="0.3" footer="0.3"/>
  <pageSetup orientation="portrait" r:id="rId19"/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7C2FC-B423-40AA-AB87-06D0390D0599}">
  <dimension ref="C2:L21"/>
  <sheetViews>
    <sheetView tabSelected="1" workbookViewId="0">
      <selection activeCell="S11" sqref="S11"/>
    </sheetView>
  </sheetViews>
  <sheetFormatPr defaultRowHeight="15" x14ac:dyDescent="0.25"/>
  <cols>
    <col min="3" max="3" width="13.42578125" bestFit="1" customWidth="1"/>
    <col min="4" max="4" width="7.140625" bestFit="1" customWidth="1"/>
    <col min="5" max="5" width="14.85546875" hidden="1" customWidth="1"/>
  </cols>
  <sheetData>
    <row r="2" spans="3:12" ht="45" customHeight="1" x14ac:dyDescent="0.25">
      <c r="F2" s="17" t="s">
        <v>46</v>
      </c>
      <c r="G2" s="17"/>
      <c r="H2" s="17"/>
      <c r="I2" s="17"/>
      <c r="J2" s="17"/>
      <c r="K2" s="17"/>
      <c r="L2" s="17"/>
    </row>
    <row r="5" spans="3:12" x14ac:dyDescent="0.25">
      <c r="C5" s="10" t="s">
        <v>2</v>
      </c>
      <c r="D5" t="s">
        <v>45</v>
      </c>
    </row>
    <row r="7" spans="3:12" x14ac:dyDescent="0.25">
      <c r="C7" s="10" t="s">
        <v>12</v>
      </c>
      <c r="D7" t="s">
        <v>40</v>
      </c>
    </row>
    <row r="8" spans="3:12" x14ac:dyDescent="0.25">
      <c r="C8" s="11" t="s">
        <v>43</v>
      </c>
      <c r="D8" s="16">
        <v>1</v>
      </c>
    </row>
    <row r="9" spans="3:12" x14ac:dyDescent="0.25">
      <c r="C9" s="14" t="s">
        <v>15</v>
      </c>
      <c r="D9" s="16">
        <v>1</v>
      </c>
    </row>
    <row r="10" spans="3:12" x14ac:dyDescent="0.25">
      <c r="C10" s="14" t="s">
        <v>33</v>
      </c>
      <c r="D10" s="16">
        <v>1</v>
      </c>
    </row>
    <row r="11" spans="3:12" x14ac:dyDescent="0.25">
      <c r="C11" s="14" t="s">
        <v>34</v>
      </c>
      <c r="D11" s="16">
        <v>1</v>
      </c>
    </row>
    <row r="12" spans="3:12" x14ac:dyDescent="0.25">
      <c r="C12" s="14" t="s">
        <v>38</v>
      </c>
      <c r="D12" s="16">
        <v>1</v>
      </c>
    </row>
    <row r="13" spans="3:12" x14ac:dyDescent="0.25">
      <c r="C13" s="14" t="s">
        <v>37</v>
      </c>
      <c r="D13" s="16">
        <v>1</v>
      </c>
    </row>
    <row r="14" spans="3:12" x14ac:dyDescent="0.25">
      <c r="C14" s="14" t="s">
        <v>36</v>
      </c>
      <c r="D14" s="16">
        <v>1</v>
      </c>
    </row>
    <row r="15" spans="3:12" x14ac:dyDescent="0.25">
      <c r="C15" s="14" t="s">
        <v>19</v>
      </c>
      <c r="D15" s="16">
        <v>1</v>
      </c>
    </row>
    <row r="16" spans="3:12" x14ac:dyDescent="0.25">
      <c r="C16" s="14" t="s">
        <v>30</v>
      </c>
      <c r="D16" s="16">
        <v>1</v>
      </c>
    </row>
    <row r="17" spans="3:4" x14ac:dyDescent="0.25">
      <c r="C17" s="14" t="s">
        <v>31</v>
      </c>
      <c r="D17" s="16">
        <v>1</v>
      </c>
    </row>
    <row r="18" spans="3:4" x14ac:dyDescent="0.25">
      <c r="C18" s="14" t="s">
        <v>32</v>
      </c>
      <c r="D18" s="16">
        <v>1</v>
      </c>
    </row>
    <row r="19" spans="3:4" x14ac:dyDescent="0.25">
      <c r="C19" s="14" t="s">
        <v>39</v>
      </c>
      <c r="D19" s="16">
        <v>1</v>
      </c>
    </row>
    <row r="20" spans="3:4" x14ac:dyDescent="0.25">
      <c r="C20" s="14" t="s">
        <v>29</v>
      </c>
      <c r="D20" s="16">
        <v>1</v>
      </c>
    </row>
    <row r="21" spans="3:4" x14ac:dyDescent="0.25">
      <c r="C21" s="11" t="s">
        <v>14</v>
      </c>
      <c r="D21" s="16">
        <v>1</v>
      </c>
    </row>
  </sheetData>
  <mergeCells count="1">
    <mergeCell ref="F2:L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1C035-081F-4608-BCF3-E62733275783}">
  <sheetPr>
    <tabColor rgb="FFFFFF00"/>
  </sheetPr>
  <dimension ref="B1:O17"/>
  <sheetViews>
    <sheetView workbookViewId="0">
      <selection activeCell="H21" sqref="H21"/>
    </sheetView>
  </sheetViews>
  <sheetFormatPr defaultRowHeight="15" x14ac:dyDescent="0.25"/>
  <cols>
    <col min="2" max="2" width="5.5703125" hidden="1" customWidth="1"/>
    <col min="3" max="3" width="12.28515625" hidden="1" customWidth="1"/>
    <col min="4" max="4" width="9.85546875" hidden="1" customWidth="1"/>
    <col min="5" max="5" width="10.42578125" bestFit="1" customWidth="1"/>
    <col min="6" max="6" width="11.85546875" customWidth="1"/>
    <col min="7" max="7" width="36.7109375" customWidth="1"/>
    <col min="8" max="8" width="45.140625" customWidth="1"/>
    <col min="9" max="9" width="12.5703125" customWidth="1"/>
    <col min="10" max="10" width="14.42578125" customWidth="1"/>
    <col min="11" max="11" width="18.5703125" customWidth="1"/>
    <col min="12" max="12" width="14.140625" customWidth="1"/>
    <col min="13" max="13" width="14.42578125" customWidth="1"/>
    <col min="14" max="14" width="16.140625" customWidth="1"/>
    <col min="15" max="15" width="23.7109375" customWidth="1"/>
  </cols>
  <sheetData>
    <row r="1" spans="2:15" ht="25.5" customHeight="1" x14ac:dyDescent="0.25">
      <c r="E1" s="20" t="s">
        <v>10</v>
      </c>
      <c r="F1" s="20"/>
      <c r="G1" s="20"/>
    </row>
    <row r="2" spans="2:15" ht="44.25" customHeight="1" x14ac:dyDescent="0.25">
      <c r="B2" s="1"/>
      <c r="C2" s="1" t="s">
        <v>41</v>
      </c>
      <c r="D2" s="1" t="s">
        <v>42</v>
      </c>
      <c r="E2" s="4" t="s">
        <v>0</v>
      </c>
      <c r="F2" s="4" t="s">
        <v>1</v>
      </c>
      <c r="G2" s="4" t="s">
        <v>2</v>
      </c>
      <c r="H2" s="4" t="s">
        <v>3</v>
      </c>
      <c r="I2" s="5" t="s">
        <v>4</v>
      </c>
      <c r="J2" s="5" t="s">
        <v>5</v>
      </c>
      <c r="K2" s="5" t="s">
        <v>18</v>
      </c>
      <c r="L2" s="6" t="s">
        <v>6</v>
      </c>
      <c r="M2" s="7" t="s">
        <v>7</v>
      </c>
      <c r="N2" s="8" t="s">
        <v>8</v>
      </c>
      <c r="O2" s="5" t="s">
        <v>9</v>
      </c>
    </row>
    <row r="3" spans="2:15" x14ac:dyDescent="0.25">
      <c r="B3" s="13"/>
      <c r="C3" s="1" t="str">
        <f>TEXT(E3, "mmm")</f>
        <v>Jul</v>
      </c>
      <c r="D3" s="1" t="str">
        <f>TEXT(Table4[[#This Row],[DATE]], "yyyy")</f>
        <v>2026</v>
      </c>
      <c r="E3" s="9">
        <v>46223</v>
      </c>
      <c r="F3" s="3" t="s">
        <v>21</v>
      </c>
      <c r="G3" s="12"/>
      <c r="H3" s="3"/>
      <c r="J3" s="3"/>
      <c r="K3" s="3"/>
      <c r="L3" s="3">
        <v>100</v>
      </c>
      <c r="M3" s="3"/>
      <c r="O3" s="15">
        <v>1</v>
      </c>
    </row>
    <row r="4" spans="2:15" x14ac:dyDescent="0.25">
      <c r="B4" s="13"/>
      <c r="C4" s="1" t="str">
        <f t="shared" ref="C4:C7" si="0">TEXT(E4, "mmm")</f>
        <v>Aug</v>
      </c>
      <c r="D4" s="1" t="str">
        <f>TEXT(Table4[[#This Row],[DATE]], "yyyy")</f>
        <v>2026</v>
      </c>
      <c r="E4" s="9">
        <v>46254</v>
      </c>
      <c r="F4" s="3" t="s">
        <v>22</v>
      </c>
      <c r="G4" s="12"/>
      <c r="H4" s="3"/>
      <c r="I4" s="3"/>
      <c r="J4" s="3"/>
      <c r="K4" s="3"/>
      <c r="L4" s="3">
        <v>100</v>
      </c>
      <c r="M4" s="3"/>
      <c r="N4" s="3"/>
      <c r="O4" s="15">
        <v>1</v>
      </c>
    </row>
    <row r="5" spans="2:15" x14ac:dyDescent="0.25">
      <c r="B5" s="13"/>
      <c r="C5" s="1" t="str">
        <f t="shared" si="0"/>
        <v>Sep</v>
      </c>
      <c r="D5" s="1" t="str">
        <f>TEXT(Table4[[#This Row],[DATE]], "yyyy")</f>
        <v>2026</v>
      </c>
      <c r="E5" s="9">
        <v>46285</v>
      </c>
      <c r="F5" s="3" t="s">
        <v>23</v>
      </c>
      <c r="G5" s="12"/>
      <c r="H5" s="3"/>
      <c r="I5" s="3"/>
      <c r="J5" s="3"/>
      <c r="K5" s="3"/>
      <c r="L5" s="3">
        <v>100</v>
      </c>
      <c r="M5" s="3"/>
      <c r="N5" s="3"/>
      <c r="O5" s="15">
        <v>1</v>
      </c>
    </row>
    <row r="6" spans="2:15" x14ac:dyDescent="0.25">
      <c r="B6" s="13"/>
      <c r="C6" s="1" t="str">
        <f t="shared" si="0"/>
        <v>Oct</v>
      </c>
      <c r="D6" s="1" t="str">
        <f>TEXT(Table4[[#This Row],[DATE]], "yyyy")</f>
        <v>2026</v>
      </c>
      <c r="E6" s="9">
        <v>46315</v>
      </c>
      <c r="F6" s="3" t="s">
        <v>24</v>
      </c>
      <c r="G6" s="12"/>
      <c r="H6" s="3"/>
      <c r="I6" s="3"/>
      <c r="J6" s="3"/>
      <c r="K6" s="3"/>
      <c r="L6" s="3">
        <v>100</v>
      </c>
      <c r="M6" s="3"/>
      <c r="N6" s="3"/>
      <c r="O6" s="15">
        <v>1</v>
      </c>
    </row>
    <row r="7" spans="2:15" x14ac:dyDescent="0.25">
      <c r="B7" s="13"/>
      <c r="C7" s="1" t="str">
        <f t="shared" si="0"/>
        <v>Nov</v>
      </c>
      <c r="D7" s="1" t="str">
        <f>TEXT(Table4[[#This Row],[DATE]], "yyyy")</f>
        <v>2026</v>
      </c>
      <c r="E7" s="9">
        <v>46346</v>
      </c>
      <c r="F7" s="3" t="s">
        <v>25</v>
      </c>
      <c r="G7" s="12"/>
      <c r="H7" s="3"/>
      <c r="I7" s="3"/>
      <c r="J7" s="3"/>
      <c r="K7" s="3"/>
      <c r="L7" s="3">
        <v>100</v>
      </c>
      <c r="M7" s="3"/>
      <c r="N7" s="3"/>
      <c r="O7" s="15">
        <v>1</v>
      </c>
    </row>
    <row r="8" spans="2:15" x14ac:dyDescent="0.25">
      <c r="B8" s="13"/>
      <c r="C8" s="1" t="str">
        <f>TEXT(E8, "mmm")</f>
        <v>Dec</v>
      </c>
      <c r="D8" s="1" t="str">
        <f>TEXT(Table4[[#This Row],[DATE]], "yyyy")</f>
        <v>2026</v>
      </c>
      <c r="E8" s="9">
        <v>46376</v>
      </c>
      <c r="F8" s="2" t="s">
        <v>17</v>
      </c>
      <c r="G8" s="2"/>
      <c r="H8" s="2"/>
      <c r="I8" s="2"/>
      <c r="J8" s="2"/>
      <c r="K8" s="2"/>
      <c r="L8" s="3">
        <v>100</v>
      </c>
      <c r="M8" s="2"/>
      <c r="N8" s="2"/>
      <c r="O8" s="15">
        <v>1</v>
      </c>
    </row>
    <row r="9" spans="2:15" x14ac:dyDescent="0.25">
      <c r="B9" s="13"/>
      <c r="C9" s="1" t="str">
        <f>TEXT(E9, "mmm")</f>
        <v>Jan</v>
      </c>
      <c r="D9" s="1" t="str">
        <f>TEXT(Table4[[#This Row],[DATE]], "yyyy")</f>
        <v>2026</v>
      </c>
      <c r="E9" s="9">
        <v>46042</v>
      </c>
      <c r="F9" s="2" t="s">
        <v>26</v>
      </c>
      <c r="G9" s="2"/>
      <c r="H9" s="2"/>
      <c r="I9" s="2"/>
      <c r="J9" s="2"/>
      <c r="K9" s="2"/>
      <c r="L9" s="3">
        <v>100</v>
      </c>
      <c r="M9" s="2"/>
      <c r="N9" s="2"/>
      <c r="O9" s="15">
        <v>1</v>
      </c>
    </row>
    <row r="10" spans="2:15" x14ac:dyDescent="0.25">
      <c r="B10" s="13"/>
      <c r="C10" s="1" t="str">
        <f>TEXT(E10, "mmm")</f>
        <v>Feb</v>
      </c>
      <c r="D10" s="1" t="str">
        <f>TEXT(Table4[[#This Row],[DATE]], "yyyy")</f>
        <v>2026</v>
      </c>
      <c r="E10" s="9">
        <v>46073</v>
      </c>
      <c r="F10" s="2" t="s">
        <v>27</v>
      </c>
      <c r="G10" s="2"/>
      <c r="H10" s="2"/>
      <c r="I10" s="2"/>
      <c r="J10" s="2"/>
      <c r="K10" s="2"/>
      <c r="L10" s="3">
        <v>100</v>
      </c>
      <c r="M10" s="2"/>
      <c r="N10" s="2"/>
      <c r="O10" s="15">
        <v>1</v>
      </c>
    </row>
    <row r="11" spans="2:15" x14ac:dyDescent="0.25">
      <c r="B11" s="13"/>
      <c r="C11" s="1" t="str">
        <f>TEXT(E11, "mmm")</f>
        <v>Mar</v>
      </c>
      <c r="D11" s="1" t="str">
        <f>TEXT(Table4[[#This Row],[DATE]], "yyyy")</f>
        <v>2026</v>
      </c>
      <c r="E11" s="9">
        <v>46101</v>
      </c>
      <c r="F11" s="2" t="s">
        <v>28</v>
      </c>
      <c r="G11" s="2"/>
      <c r="H11" s="2"/>
      <c r="I11" s="2"/>
      <c r="J11" s="2"/>
      <c r="K11" s="2"/>
      <c r="L11" s="3">
        <v>100</v>
      </c>
      <c r="M11" s="2"/>
      <c r="N11" s="2"/>
      <c r="O11" s="15">
        <v>1</v>
      </c>
    </row>
    <row r="12" spans="2:15" x14ac:dyDescent="0.25">
      <c r="B12" s="13"/>
      <c r="C12" s="1" t="str">
        <f t="shared" ref="C12:C14" si="1">TEXT(E12, "mmm")</f>
        <v>Apr</v>
      </c>
      <c r="D12" s="1" t="str">
        <f>TEXT(Table4[[#This Row],[DATE]], "yyyy")</f>
        <v>2026</v>
      </c>
      <c r="E12" s="9">
        <v>46132</v>
      </c>
      <c r="F12" s="3" t="s">
        <v>21</v>
      </c>
      <c r="G12" s="12"/>
      <c r="H12" s="3"/>
      <c r="I12" s="3"/>
      <c r="J12" s="3"/>
      <c r="K12" s="3"/>
      <c r="L12" s="3">
        <v>100</v>
      </c>
      <c r="M12" s="3"/>
      <c r="N12" s="3"/>
      <c r="O12" s="15">
        <v>1</v>
      </c>
    </row>
    <row r="13" spans="2:15" x14ac:dyDescent="0.25">
      <c r="B13" s="13"/>
      <c r="C13" s="1" t="str">
        <f t="shared" si="1"/>
        <v>May</v>
      </c>
      <c r="D13" s="1" t="str">
        <f>TEXT(Table4[[#This Row],[DATE]], "yyyy")</f>
        <v>2026</v>
      </c>
      <c r="E13" s="9">
        <v>46162</v>
      </c>
      <c r="F13" s="3" t="s">
        <v>22</v>
      </c>
      <c r="G13" s="12"/>
      <c r="H13" s="3"/>
      <c r="I13" s="3"/>
      <c r="J13" s="3"/>
      <c r="K13" s="3"/>
      <c r="L13" s="3">
        <v>100</v>
      </c>
      <c r="M13" s="3"/>
      <c r="N13" s="3"/>
      <c r="O13" s="15">
        <v>1</v>
      </c>
    </row>
    <row r="14" spans="2:15" x14ac:dyDescent="0.25">
      <c r="B14" s="13"/>
      <c r="C14" s="1" t="str">
        <f t="shared" si="1"/>
        <v>Jun</v>
      </c>
      <c r="D14" s="1" t="str">
        <f>TEXT(Table4[[#This Row],[DATE]], "yyyy")</f>
        <v>2026</v>
      </c>
      <c r="E14" s="9">
        <v>46193</v>
      </c>
      <c r="F14" s="3" t="s">
        <v>23</v>
      </c>
      <c r="G14" s="12"/>
      <c r="H14" s="3"/>
      <c r="I14" s="3"/>
      <c r="J14" s="3"/>
      <c r="K14" s="3"/>
      <c r="L14" s="3">
        <v>100</v>
      </c>
      <c r="M14" s="3"/>
      <c r="N14" s="3"/>
      <c r="O14" s="15">
        <v>1</v>
      </c>
    </row>
    <row r="17" spans="5:5" x14ac:dyDescent="0.25">
      <c r="E17" t="s">
        <v>35</v>
      </c>
    </row>
  </sheetData>
  <mergeCells count="1">
    <mergeCell ref="E1:G1"/>
  </mergeCells>
  <pageMargins left="0.7" right="0.7" top="0.75" bottom="0.75" header="0.3" footer="0.3"/>
  <ignoredErrors>
    <ignoredError sqref="O3 O4:O14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OPERATOR</vt:lpstr>
      <vt:lpstr>RATE FORGING</vt:lpstr>
      <vt:lpstr>TOTAL RATE</vt:lpstr>
      <vt:lpstr>Achievements Forging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Ilham Firmansyah</dc:creator>
  <cp:lastModifiedBy>Fajar Ilham Firmansyah</cp:lastModifiedBy>
  <dcterms:created xsi:type="dcterms:W3CDTF">2026-09-24T02:32:53Z</dcterms:created>
  <dcterms:modified xsi:type="dcterms:W3CDTF">2026-10-14T09:11:48Z</dcterms:modified>
</cp:coreProperties>
</file>